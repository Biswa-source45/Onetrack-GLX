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6-27\"/>
    </mc:Choice>
  </mc:AlternateContent>
  <xr:revisionPtr revIDLastSave="0" documentId="13_ncr:1_{69F30354-1AB4-4C87-9AFE-AE7C168F88E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TENDERS " sheetId="1" r:id="rId1"/>
    <sheet name="SUPPORTING BID" sheetId="3" r:id="rId2"/>
  </sheets>
  <definedNames>
    <definedName name="_xlnm._FilterDatabase" localSheetId="1" hidden="1">'SUPPORTING BID'!$A$1:$T$1</definedName>
    <definedName name="_xlnm._FilterDatabase" localSheetId="0" hidden="1">'TENDERS '!$A$1:$AB$76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4" i="3" l="1"/>
  <c r="E47" i="1"/>
</calcChain>
</file>

<file path=xl/sharedStrings.xml><?xml version="1.0" encoding="utf-8"?>
<sst xmlns="http://schemas.openxmlformats.org/spreadsheetml/2006/main" count="1178" uniqueCount="510">
  <si>
    <t>Sl No</t>
  </si>
  <si>
    <t>Bid No</t>
  </si>
  <si>
    <t>Bid Type</t>
  </si>
  <si>
    <t>Nature Of Bid</t>
  </si>
  <si>
    <t xml:space="preserve">End Date </t>
  </si>
  <si>
    <t>End Time</t>
  </si>
  <si>
    <t>Costumer Details</t>
  </si>
  <si>
    <t>Product Details</t>
  </si>
  <si>
    <t>Qty</t>
  </si>
  <si>
    <t>EMD/BG</t>
  </si>
  <si>
    <t>Bid Status</t>
  </si>
  <si>
    <t>L1 Bidder</t>
  </si>
  <si>
    <t>L1 Bidder Price</t>
  </si>
  <si>
    <t xml:space="preserve">L2 Bidder </t>
  </si>
  <si>
    <t>L2 Bidder Price</t>
  </si>
  <si>
    <t xml:space="preserve">L3
 Bidder </t>
  </si>
  <si>
    <t>L3 Bidder Price</t>
  </si>
  <si>
    <t>L4
 Bidder</t>
  </si>
  <si>
    <t>L4 Bidder Price</t>
  </si>
  <si>
    <t>Gem Link</t>
  </si>
  <si>
    <t xml:space="preserve">Remarks </t>
  </si>
  <si>
    <t>GEM/2026/B/7390636</t>
  </si>
  <si>
    <t>Bid to RA</t>
  </si>
  <si>
    <t>Panchayati Raj Department_RANPUR</t>
  </si>
  <si>
    <t>Entry and Mid Level Desktop Computer (Q2) , Line Interactive UPS with AVR (V2) (Q2)</t>
  </si>
  <si>
    <t>GEM/2026/B/7402320</t>
  </si>
  <si>
    <t>Panchayati Raj Department_Gop Taluk of Puri</t>
  </si>
  <si>
    <t>Entry and Mid Level Desktop Computer (Q2) , Line
Interactive UPS with AVR (V2) (Q2)</t>
  </si>
  <si>
    <t>GEM/2026/B/7386868</t>
  </si>
  <si>
    <t>Odisha Tourism Development Corporation (otdc) Ltd.</t>
  </si>
  <si>
    <t>High End Desktop Computer (Q2) , Online UPS (?10 KVA) With Battery Conforming To IS 16242 (Part 1) (Q2)</t>
  </si>
  <si>
    <t>GEM/2026/B/7387162</t>
  </si>
  <si>
    <t>A3 Size Multifunction Printer (MFP) (Q2)</t>
  </si>
  <si>
    <t>55/Tender/OBCC/2025-26</t>
  </si>
  <si>
    <t>Odisha Bridge &amp; Construction Corporation Limited (OBCC)</t>
  </si>
  <si>
    <t xml:space="preserve">Selection of an agency for implementation operation and maintainance of IT infrastructure  </t>
  </si>
  <si>
    <t>ODISHA POWER GENERATION CORPORATION LIMITED(OPGCL)</t>
  </si>
  <si>
    <t>Tender Fee</t>
  </si>
  <si>
    <t>Tender fee</t>
  </si>
  <si>
    <t xml:space="preserve">L1 Bidders  </t>
  </si>
  <si>
    <t>L1 bidder price</t>
  </si>
  <si>
    <t xml:space="preserve">L2 Bidders  </t>
  </si>
  <si>
    <t xml:space="preserve">L2 Bidders price  </t>
  </si>
  <si>
    <t>L3 bidder</t>
  </si>
  <si>
    <t xml:space="preserve">L3 Bidders price  </t>
  </si>
  <si>
    <t>GEM/2026/B/7208038</t>
  </si>
  <si>
    <t>ORSAC</t>
  </si>
  <si>
    <t>Layer 2 Access Switch (V2) (Q2) , Servers (V2) (Q2)</t>
  </si>
  <si>
    <t>1600000
5%</t>
  </si>
  <si>
    <t>GEM/2026/B/7263838</t>
  </si>
  <si>
    <t>Director , Land Record &amp; Survey,orissa,cuttack</t>
  </si>
  <si>
    <t>Entry and Mid Level Desktop Computer (Q2) , Computer Printer (V2) (Q2) , Multifunction Printer (Print, Scan, Copy) (Q2) , Line Interactive UPS with AVR (V2) (Q2)</t>
  </si>
  <si>
    <t>90000
5%</t>
  </si>
  <si>
    <t>Bid Owner</t>
  </si>
  <si>
    <t>Customer Details</t>
  </si>
  <si>
    <t>Deepak Sahoo</t>
  </si>
  <si>
    <t>Anil Paltasingh</t>
  </si>
  <si>
    <t>Bid Only</t>
  </si>
  <si>
    <t>BG (%)</t>
  </si>
  <si>
    <t>GEM/2026/B/7403291</t>
  </si>
  <si>
    <t>OFC Cable laying</t>
  </si>
  <si>
    <t>Duration of BG</t>
  </si>
  <si>
    <t>EMD Status</t>
  </si>
  <si>
    <t>EMD Remark</t>
  </si>
  <si>
    <t>Amit Mohanty</t>
  </si>
  <si>
    <t>EMD Amount</t>
  </si>
  <si>
    <t>Final Price After RA</t>
  </si>
  <si>
    <t>Niser (national Institute Of Science Education &amp; Research), Bhubaneswar</t>
  </si>
  <si>
    <t>E-Tender - Tender Odisha Portal</t>
  </si>
  <si>
    <t>https://mkp.gem.gov.in/entry-mid-level-desktop-computer/dell-dt/p-5116877-30580852800-cat.html#variant_id=5116877-30580852800
https://mkp.gem.gov.in/line-interactive-ups-with-avr-v2/0-65-kva-line-interactive-ups/p-5116877-56142700242-cat.html#variant_id=5116877-56142700242</t>
  </si>
  <si>
    <t>GEM/2026/B/7193110</t>
  </si>
  <si>
    <t>Manas Ku. Nayak</t>
  </si>
  <si>
    <t>Office Suite Software (V3) (Q2)</t>
  </si>
  <si>
    <t>NA</t>
  </si>
  <si>
    <t>participated</t>
  </si>
  <si>
    <t>Bureau Of Indian Standards (bis)_New Delhi</t>
  </si>
  <si>
    <t>GEM/2026/B/7415510</t>
  </si>
  <si>
    <t>All in One PC (V2) (Q2) , Entry and Mid Level Laptop -
Notebook (Q2) , Line Interactive UPS with AVR (V2) (Q2)</t>
  </si>
  <si>
    <t>Revenue And Disaster Management Department_Collectorate Malkangiri</t>
  </si>
  <si>
    <t>GEM/2026/B/7411419</t>
  </si>
  <si>
    <t>Network Attached Storage (V2) (Q2)</t>
  </si>
  <si>
    <t>Centre For Modernizing Government Initiative(cmgi)
Government Of Odisha</t>
  </si>
  <si>
    <t>Participated</t>
  </si>
  <si>
    <t>GLTECH</t>
  </si>
  <si>
    <t>14 Months</t>
  </si>
  <si>
    <t>GEM/2026/B/7370881</t>
  </si>
  <si>
    <t>AutoCAD LT - 2023 (3-Year subscription)</t>
  </si>
  <si>
    <t>Rail Vikas Nigam Limited_New Delhi</t>
  </si>
  <si>
    <t>Costume</t>
  </si>
  <si>
    <t>GEM/2026/B/7327401</t>
  </si>
  <si>
    <t>Microsoft SQL Server 2025 Enterprise Edition 2-core–
Perpetual (without SA)</t>
  </si>
  <si>
    <t>Revenue Department Gujarat</t>
  </si>
  <si>
    <t>GEM/2026/B/7363143</t>
  </si>
  <si>
    <t>Indian Institute Of Technology (iit)_Bhagalpur_Bihar</t>
  </si>
  <si>
    <t>GLOBX</t>
  </si>
  <si>
    <t>POWTECH</t>
  </si>
  <si>
    <t>AXIS</t>
  </si>
  <si>
    <t>Axis participated in APC ups link</t>
  </si>
  <si>
    <t>GEM/2026/B/7419683</t>
  </si>
  <si>
    <t>Fixed Computer Workstation (Q2)</t>
  </si>
  <si>
    <t>IISER(Indian Institutes Of Science Education And Research)</t>
  </si>
  <si>
    <t>Priyabrata Mohanty</t>
  </si>
  <si>
    <t>GEM/2026/B/7360277</t>
  </si>
  <si>
    <t>Sjvn Limited_Shimla</t>
  </si>
  <si>
    <t>5 Months</t>
  </si>
  <si>
    <t>GEM/2026/B/7404670</t>
  </si>
  <si>
    <t>District Court Boudh</t>
  </si>
  <si>
    <t>Inverter (V2) (Q2) , All in One PC (V2) (Q2) , Computer
Printer (V2) (Q2)</t>
  </si>
  <si>
    <t>OCAC-SEGP-INFRA-0028-2025/ENQ/26022</t>
  </si>
  <si>
    <t>Enivida odisha Portal</t>
  </si>
  <si>
    <t>OCAC</t>
  </si>
  <si>
    <t>Supply &amp; Installation of LED Display, Video Conferencing Equipment &amp; Sound Bar</t>
  </si>
  <si>
    <t>https://mkp.gem.gov.in/inverter-v2/1600va-1275w/p-5116877-13892263221-cat.html#variant_id=5116877-13892263221
https://mkp.gem.gov.in/all-one-pc-v2/hp-440-g9-aio-i5-12500-win11p-81ssd1/p-5116877-39998903432-cat.html#variant_id=5116877-39998903432
https://mkp.gem.gov.in/computer-printer-v2/hp-laser-jet-m208dw-printer-with-1-year/p-5116877-12371122654-cat.html#variant_id=5116877-12371122654</t>
  </si>
  <si>
    <t>GEM/2026/B/7429257</t>
  </si>
  <si>
    <t>Entry and Mid Level Laptop - Notebook (Q2) , Television (V3)
(Q2) , Video Conferencing End Point (Q2) , Online UPS (?10
KVA) With Battery Conforming To IS 16242 (Part 1) (Q2)</t>
  </si>
  <si>
    <t>Panchayati Raj Department_Gajapati</t>
  </si>
  <si>
    <t>14 months</t>
  </si>
  <si>
    <t>GEM/2026/B/7419098</t>
  </si>
  <si>
    <t>Collectorate Ganjam</t>
  </si>
  <si>
    <t>Entry and Mid Level Desktop Computer (Q2) , A4 and Legal
Size Multifunction Printer (MFP) (Q2) , Line Interactive UPS
with AVR (V2) (Q2)</t>
  </si>
  <si>
    <t>GEM/2026/B/7351137</t>
  </si>
  <si>
    <t>Online UPS (?10 KVA) With Battery Conforming To IS 16242
(Part 1) (Q2)</t>
  </si>
  <si>
    <t xml:space="preserve">39 Months </t>
  </si>
  <si>
    <t>Department Of Financial Services_SAMBALPUR</t>
  </si>
  <si>
    <t>https://mkp.gem.gov.in/online-ups-10-kva-with-battery-conforming-16242/3-kva-online-ups-with-battery/p-5116877-71357354029-cat.html#variant_id=5116877-71357354029
https://mkp.gem.gov.in/online-ups-10-kva-with-battery-conforming-16242/6-kva-online-ups-with-battery/p-5116877-42083928699-cat.html#variant_id=5116877-42083928699</t>
  </si>
  <si>
    <t xml:space="preserve"> Emd Exemption</t>
  </si>
  <si>
    <t xml:space="preserve">AXIS </t>
  </si>
  <si>
    <t>Supply of All-in-One Desktop</t>
  </si>
  <si>
    <t>https://mkp.gem.gov.in/office-suite-software-v3/office-ltsc-standard-2024/p-5116877-2482181491-cat.html#variant_id=5116877-2482181491</t>
  </si>
  <si>
    <t xml:space="preserve">https://mkp.gem.gov.in/high-end-desktop-computer/dell-pro-tower-qct1250/p-5116877-52945780439-cat.html#variant_id=5116877-52945780439
https://mkp.gem.gov.in/online-ups-10-kva-with-battery-conforming-16242/1-kva-online-ups-with-battery/p-5116877-30678175976-cat.html#variant_id=5116877-30678175976
</t>
  </si>
  <si>
    <t>GEM/2026/B/7406015</t>
  </si>
  <si>
    <t>Office Of The Cdmpho Malkangiri</t>
  </si>
  <si>
    <t xml:space="preserve">Bid </t>
  </si>
  <si>
    <t>Emd Exemption</t>
  </si>
  <si>
    <t>https://mkp.gem.gov.in/online-ups-10-kva-with-battery-conforming-16242/2-kva-online-ups-with-battery/p-5116877-50132615929-cat.html#variant_id=5116877-50132615929</t>
  </si>
  <si>
    <t>https://mkp.gem.gov.in/all-one-pc-v2/hp-440-g9-aio-i5-14500-win11p-165121/p-5116877-91592101388-cat.html#variant_id=5116877-91592101388
https://mkp.gem.gov.in/entry-mid-level-laptop-notebook/hp-250-g9-i5-1245u-win11p-165121-wifi/p-5116877-35755008194-cat.html#variant_id=5116877-35755008194
https://mkp.gem.gov.in/line-interactive-ups-with-avr-v2/apc-1-1kva-ups-with-avr/p-5116877-94063724354-cat.html#variant_id=5116877-94063724354</t>
  </si>
  <si>
    <t>GEM/2026/B/7441012</t>
  </si>
  <si>
    <t>All in One PC (V2) (Q2)</t>
  </si>
  <si>
    <t>Collectorate Jagatsinghpur</t>
  </si>
  <si>
    <t>Bid</t>
  </si>
  <si>
    <t>https://mkp.gem.gov.in/all-one-pc-v2/dell-optiplex-7420-aio/p-5116877-53432627204-cat.html</t>
  </si>
  <si>
    <t>GEM/2026/B/7440975</t>
  </si>
  <si>
    <t>Entry and Mid Level Desktop Computer (Q2) , Line
Interactive UPS with AVR (V2) (Q2) , A4 and Legal Size
Multifunction Printer (MFP) (Q2)</t>
  </si>
  <si>
    <t>GEM/2026/B/7422874</t>
  </si>
  <si>
    <t>Database Management System Software (V3) (Q2)</t>
  </si>
  <si>
    <t>CPP Nalco</t>
  </si>
  <si>
    <t>GEM/2026/B/7394714</t>
  </si>
  <si>
    <t>Ntpc Limited_Ranchi, Jharkhand</t>
  </si>
  <si>
    <t>https://mkp.gem.gov.in/a3-size-multifunction-printer-mfp/ricoh-im-2500-with-320-gb-hdd-2/p-5116877-62350245685-cat.html
https://mkp.gem.gov.in/a3-size-multifunction-printer-mfp/ricoh-im-6000-with-320-gb-hdd-2/p-5116877-68663774565-cat.html
https://mkp.gem.gov.in/a3-size-multifunction-printer-mfp/ricoh-im-3500-with-network-320-gb-hdd/p-5116877-91865879155-cat.html
https://mkp.gem.gov.in/a3-size-multifunction-printer-mfp/ricoh-im-4000-with-network-320gb-hdd-2gb/p-5116877-30395659538-cat.html</t>
  </si>
  <si>
    <t>GEM/2026/B/7392098</t>
  </si>
  <si>
    <t>16 Months</t>
  </si>
  <si>
    <t>IP Bullet Camera</t>
  </si>
  <si>
    <t>BOQ</t>
  </si>
  <si>
    <t>Irel (india) Limited_Ganjam Chatrapur</t>
  </si>
  <si>
    <t>GEM/2026/B/7439364</t>
  </si>
  <si>
    <t>Upgrade of campus network and associated infrastructure</t>
  </si>
  <si>
    <t>122 months</t>
  </si>
  <si>
    <t>OCPL/SUP-229/2026</t>
  </si>
  <si>
    <t>SUPPLY OF LAPTOPS AND DESKTOP</t>
  </si>
  <si>
    <t>ODISHA COAL AND POWER LIMITED_BBSR</t>
  </si>
  <si>
    <t>GEM/2026/B/7452484</t>
  </si>
  <si>
    <t>High End Desktop Computer (Q2)</t>
  </si>
  <si>
    <t>Skill Development_PARALA MAHARAJA
ENGINEERING COLLEGE</t>
  </si>
  <si>
    <t>62 months</t>
  </si>
  <si>
    <t>IIT/CIC/NGFW/2026-27/01</t>
  </si>
  <si>
    <t>Mannual</t>
  </si>
  <si>
    <t>IIT Kharagpur</t>
  </si>
  <si>
    <t>Procurement of Next Generation Firewall</t>
  </si>
  <si>
    <t>https://mkp.gem.gov.in/entry-mid-level-laptop-notebook/dell-pro-14-pc14250/p-5116877-20868774696-cat.html#variant_id=5116877-20868774696
https://mkp.gem.gov.in/television-v3/55-smart-uhd-led-display-with-3-years/p-5116877-52082748509-cat.html#variant_id=5116877-52082748509
https://mkp.gem.gov.in/television-v3/ap32hg41basn5/p-5116877-52203799717-cat.html#variant_id=5116877-52203799717
https://mkp.gem.gov.in/video-conferencing-end-point/peoplelink-4k-impact-codec-1-8-4k-20x/p-5116877-2646587537-cat.html#variant_id=5116877-2646587537
https://mkp.gem.gov.in/online-ups-10-kva-with-battery-conforming-16242/2-kva-online-ups-with-battery/p-5116877-63582437880-cat.html#variant_id=5116877-63582437880
https://mkp.gem.gov.in/online-ups-10-kva-with-battery-conforming-16242/microtek-2kva-online-ups-with-15-mins-backup/p-5116877-66536257242-cat.html#variant_id=5116877-66536257242</t>
  </si>
  <si>
    <t>GEM/2026/B/7374443</t>
  </si>
  <si>
    <t>Custom Bid for Services - Procurement of Microsoft 365 A3
Educational Licenses</t>
  </si>
  <si>
    <t>Indian Institute Of Management (iim)_kolkata</t>
  </si>
  <si>
    <t>Service</t>
  </si>
  <si>
    <t>Bid only</t>
  </si>
  <si>
    <t xml:space="preserve">https://mkp.gem.gov.in/entry-mid-level-desktop-computer/hp-280-g9-mt-i3-12100-win11p-165123/p-5116877-42856972319-cat.html#variant_id=5116877-42856972319
https://mkp.gem.gov.in/line-interactive-ups-with-avr-v2/1kva-line-interactive-ups/p-5116877-22997787252-cat.html
https://mkp.gem.gov.in/a4-legal-size-multifunction-printer-mfp/hp-laser-mfp-126a-plus-printer-with-1/p-5116877-77494865427-cat.html#variant_id=5116877-77494865427
</t>
  </si>
  <si>
    <t>GEM/2026/B/7453331</t>
  </si>
  <si>
    <t>St And Sc Develpment Minorities And Backward Classes
Welfare Department _Cuttack, Odisha</t>
  </si>
  <si>
    <t>GEM/2026/B/7462206</t>
  </si>
  <si>
    <t>Nalco Bhubaneswar</t>
  </si>
  <si>
    <t>Next General Firewall , 1 GB WAN Router</t>
  </si>
  <si>
    <t>SLDC-01/2026-27</t>
  </si>
  <si>
    <t>Servers and storage for SLDC</t>
  </si>
  <si>
    <t>E-Tender(Tender Wizard)</t>
  </si>
  <si>
    <t>OPTCL BBSR</t>
  </si>
  <si>
    <t>5900
14160</t>
  </si>
  <si>
    <t>GEM/2026/B/7490270</t>
  </si>
  <si>
    <t>NAS Hard disk, DDR4 ECC SODIMM RAM, NVMe NAS</t>
  </si>
  <si>
    <t>RUDRA</t>
  </si>
  <si>
    <t>PRIYADARSHINI ENTERPRISES</t>
  </si>
  <si>
    <t>Emd exemption- Priyadarshini and Rudra</t>
  </si>
  <si>
    <t>L1</t>
  </si>
  <si>
    <t>GEM/2026/B/7474111</t>
  </si>
  <si>
    <t>Odisha University Of Technology And Research (OUTR)</t>
  </si>
  <si>
    <t>60 months</t>
  </si>
  <si>
    <t>IMA/62/445/2026</t>
  </si>
  <si>
    <t>Institute of Mathematics and Applications, Bhubaneswar (IMA, Bhubaneswar)</t>
  </si>
  <si>
    <t>Desktop Computers  and WorkStations</t>
  </si>
  <si>
    <t>https://mkp.gem.gov.in/high-end-desktop-computer/dell-pro-slim-qcs1250/p-5116877-70975478154-cat.html</t>
  </si>
  <si>
    <t>GEM/2026/B/7499175</t>
  </si>
  <si>
    <t>Entry and Mid Level Desktop Computer (Q2)</t>
  </si>
  <si>
    <t>IIT Bhubaneswar</t>
  </si>
  <si>
    <t>GEM/2026/B/7499207</t>
  </si>
  <si>
    <t>General Administration Department Odisha_Bhubaneswar</t>
  </si>
  <si>
    <t>GEM/2026/B/7499392</t>
  </si>
  <si>
    <t>Computer Printer (V2) (Q2)</t>
  </si>
  <si>
    <t>GEM/2026/B/7504792</t>
  </si>
  <si>
    <t>Salipur Autonomous College</t>
  </si>
  <si>
    <t>https://mkp.gem.gov.in/all-one-pc-v2/hp-440-g9-aio-i7-13700-win11p-165121/p-5116877-12081650815-cat.html#variant_id=5116877-12081650815</t>
  </si>
  <si>
    <t>https://mkp.gem.gov.in/computer-printer-v2/hp-laserjet-pro3004dw-printer-with-1-year-warranty/p-5116877-85397410323-cat.html#variant_id=5116877-85397410323</t>
  </si>
  <si>
    <t>https://mkp.gem.gov.in/all-one-pc-v2/hp-440-g9-aio-i5-14500-win11p-165121/p-5116877-91592101388-cat.html#variant_id=5116877-91592101388</t>
  </si>
  <si>
    <t>https://mkp.gem.gov.in/fixed-computer-workstation/dell-precision-3680-tower/p-5116877-43007898741-cat.html#variant_id=5116877-43007898741</t>
  </si>
  <si>
    <t>GEM/2026/B/7526798</t>
  </si>
  <si>
    <t>Secretary,board Of Revenue,cuttack</t>
  </si>
  <si>
    <t>GEM/2026/B/7525473</t>
  </si>
  <si>
    <t>Nsm City College Cuttack</t>
  </si>
  <si>
    <t>All in One PC (V2) (Q2) , Line Interactive UPS with AVR (V2)(Q2) , A4 and Legal Size Multifunction Printer (MFP) (Q2)</t>
  </si>
  <si>
    <t>Line Interactive UPS with AVR (V2) (Q2) , Scanner (V3) (Q2) , Entry and Mid Level Desktop Computer (Q2)</t>
  </si>
  <si>
    <t>Qualified</t>
  </si>
  <si>
    <t>IISERBPr/S&amp;P/2026-27/03</t>
  </si>
  <si>
    <t>E Tender - Cpp Portal Odisha</t>
  </si>
  <si>
    <t>Supply, Installation, Testing and Commissioning of “Rack Server</t>
  </si>
  <si>
    <t>15 days from the date of Order Acknowledgement as a
successful bidder</t>
  </si>
  <si>
    <t>GEM/2026/B/7474175</t>
  </si>
  <si>
    <t>Microsoft Licenses</t>
  </si>
  <si>
    <t>Indian Institute Of Technology (iit)_Gandhi Nagar</t>
  </si>
  <si>
    <t>GEM/2026/B/7472152</t>
  </si>
  <si>
    <t>Boom Barrier for Road crossing</t>
  </si>
  <si>
    <t>Nalco Damanjodi</t>
  </si>
  <si>
    <t>Bid cancelled</t>
  </si>
  <si>
    <t>https://mkp.gem.gov.in/line-interactive-ups-with-avr-v2/apc-1-1kva-ups-with-avr/p-5116877-94063724354-cat.html
https://mkp.gem.gov.in/scanner-v3/hp-scanjet-pro-n4600-fnw1-scanner-with-1y/p-5116877-73237956694-cat.html
https://mkp.gem.gov.in/entry-mid-level-desktop-computer/hp-280-g9-mt-i5-12400-win11h-16512ssd3/p-5116877-70639143306-cat.html#variant_id=5116877-70639143306</t>
  </si>
  <si>
    <t>GEM/2026/B/7552965</t>
  </si>
  <si>
    <t>Wireless Access Point (V2) (Q2)</t>
  </si>
  <si>
    <t>GEM/2026/B/7493764</t>
  </si>
  <si>
    <t>Advanced Weapons And Equipment India Limited_KANPUR CITY</t>
  </si>
  <si>
    <t>https://mkp.gem.gov.in/office-suite-software-v3/office-professional-plus-2024-slng-ltsc-select-plus/p-5116877-44868898336-cat.html#variant_id=5116877-44868898336</t>
  </si>
  <si>
    <t>GEM/2026/B/7528428</t>
  </si>
  <si>
    <t>Department Of Defence Research &amp; Development_Balasore</t>
  </si>
  <si>
    <t>20 Months</t>
  </si>
  <si>
    <t>GEM/2026/B/7545142</t>
  </si>
  <si>
    <t>High End Desktop Computer (Q2) , Entry and Mid Level
Desktop Computer (Q2) , High End Laptop - Notebook (Q2)</t>
  </si>
  <si>
    <t>Odisha Gramya Bank_BBSR</t>
  </si>
  <si>
    <t>https://mkp.gem.gov.in/all-one-pc-v2/hp-440-g9-aio-i5-14500-win11p-85121/p-5116877-79996277498-cat.html#variant_id=5116877-79996277498
https://mkp.gem.gov.in/line-interactive-ups-with-avr-v2/apc-1-1kva-ups-with-avr/p-5116877-94063724354-cat.html#variant_id=5116877-94063724354
https://mkp.gem.gov.in/a4-legal-size-multifunction-printer-mfp/hp-smart-tank-790-aio-printer-with-1/p-5116877-96549075246-cat.html#variant_id=5116877-96549075246</t>
  </si>
  <si>
    <t>https://mkp.gem.gov.in/fixed-computer-workstation/hp-z2-twr-g9-i9-14900-win11p-64121/p-5116877-62333223517-cat.html#variant_id=5116877-62333223517</t>
  </si>
  <si>
    <t>GEM/2026/B/7568124</t>
  </si>
  <si>
    <t>HP desktop 8 515 i5 20 inch moniter , Hp Laptop i5 8 512 ,
Hp MFM Printer 323 d 1 Year Warranty , Hp MFM Color
Printer Tank750 , HP A3 MFM Printer 438NDA , HP A3 MFM
Color Printer</t>
  </si>
  <si>
    <t>Chief Engineer Bhubaneswar Cpwd</t>
  </si>
  <si>
    <t>12 Months</t>
  </si>
  <si>
    <t>GEM/2026/B/7580978</t>
  </si>
  <si>
    <t>All in One PC (V2) (Q2) , A4 and Legal Size Multifunction
Printer (MFP) (Q2) , Line Interactive UPS with AVR (V2) (Q2)</t>
  </si>
  <si>
    <t>District Court Rayagada</t>
  </si>
  <si>
    <t>GEM/2026/B/7581413</t>
  </si>
  <si>
    <t>Computer Keyboards (Q2) , Computer Mouse (Q2)</t>
  </si>
  <si>
    <t>District Judge Rayagada</t>
  </si>
  <si>
    <t>GEM/2026/B/7505156</t>
  </si>
  <si>
    <t>Institute Of Life Sciences</t>
  </si>
  <si>
    <t>Servers (V2) (Q2)</t>
  </si>
  <si>
    <t>40 Months</t>
  </si>
  <si>
    <t>GEM/2026/B/7576763</t>
  </si>
  <si>
    <t>1.86710020041 LAPTOP COMPUTER</t>
  </si>
  <si>
    <t>https://mkp.gem.gov.in/all-one-pc-v2/hp-440-g9-aio-i5-13500-win11p-16512ssd1/p-5116877-64949498110-cat.html#variant_id=5116877-64949498110
https://mkp.gem.gov.in/a4-legal-size-multifunction-printer-mfp/hp-lj-pro-mfp-m329dw-ptr-with-1/p-5116877-16069160541-cat.html#variant_id=5116877-16069160541
https://mkp.gem.gov.in/line-interactive-ups-with-avr-v2/1kva-line-interactive-ups/p-5116877-22997787252-cat.html#variant_id=5116877-22997787252</t>
  </si>
  <si>
    <t>https://mkp.gem.gov.in/computer-keyboards/hp-115-wireless-keyboard-india/p-5116877-98207736283-cat.html#variant_id=5116877-98207736283
https://mkp.gem.gov.in/computer-mouse/hp-115-wireless-mouse-india/p-5116877-78105006144-cat.html#variant_id=5116877-78105006144</t>
  </si>
  <si>
    <t>GEM/2026/B/7591701</t>
  </si>
  <si>
    <t>Revenue And Disaster Management Department Odisha_Collector Sambalpur</t>
  </si>
  <si>
    <t>https://mkp.gem.gov.in/line-interactive-ups-with-avr-v2/legend-650-mtkur65/p-5116877-12020907962-cat.html#variant_id=5116877-12020907962
https://mkp.gem.gov.in/entry-mid-level-desktop-computer/hp-280-g9-mt-i3-12100-win11h-16512ssd3/p-5116877-31222985129-cat.html</t>
  </si>
  <si>
    <t>GEM/2026/B/7589183</t>
  </si>
  <si>
    <t>Water Resources Department_BBSr</t>
  </si>
  <si>
    <t xml:space="preserve">https://mkp.gem.gov.in/entry-mid-level-desktop-computer/hp-280-g9-mt-i5-12400-win11p-161ssd3/p-5116877-9003701012-cat.html#variant_id=5116877-9003701012
</t>
  </si>
  <si>
    <t>GEM/2026/B/7597210</t>
  </si>
  <si>
    <t>Workstation</t>
  </si>
  <si>
    <t>GEM/2026/B/7597077</t>
  </si>
  <si>
    <t>Desktop Computer</t>
  </si>
  <si>
    <t>GEM/2026/B/7603786</t>
  </si>
  <si>
    <t>District &amp; Sesions Judge_Boudh</t>
  </si>
  <si>
    <t>All in One PC (V2) (Q2) , A4 and Legal Size Multifunction Printer (MFP) (Q2) , Computer Printer (V2) (Q2) , Line Interactive UPS with AVR (V2) (Q2)</t>
  </si>
  <si>
    <t>https://mkp.gem.gov.in/servers-v2/dell-emc-poweredge-r660xs/p-5116877-33248410220-cat.html#variant_id=5116877-33248410220
https://mkp.gem.gov.in/servers-v2/fusionstor-server/p-5116877-84148213047-cat.html#variant_id=5116877-84148213047</t>
  </si>
  <si>
    <t>GEM/2026/B/7536317</t>
  </si>
  <si>
    <t>Custom Bid for Services</t>
  </si>
  <si>
    <t>Custom Bid for Services - Subscription renewal of AutoCAD
Software including specialized toolsets AD Commercial
Single user ELD Subscription renewal Switched From
Maintenance Multi User 2 1 Trade In license activation
renewal of latest version 30 n..</t>
  </si>
  <si>
    <t>Projects And Development India Limited (pdil)_Gujarat</t>
  </si>
  <si>
    <t>18 Months</t>
  </si>
  <si>
    <t>DIRECTORATE OF TECHNICAL EDUCATION AND TRAINING, ODISHA (DTE&amp;T)</t>
  </si>
  <si>
    <t>Desktop, Laptop , Panel</t>
  </si>
  <si>
    <t>Satyabrat Pradhan</t>
  </si>
  <si>
    <t>DTET-PROC-ET-0002-2025</t>
  </si>
  <si>
    <t xml:space="preserve"> EMD valid for minimum 225 days from last date of bid submission</t>
  </si>
  <si>
    <t>66 months 
within 15 days after the receipt of notification of award of the Contract (LoA) from DTE&amp;T</t>
  </si>
  <si>
    <t>Supply, Installation &amp; Commissioning of ICT Equipment</t>
  </si>
  <si>
    <t>OCAC-SEGP-INFRA-0050-2025-26026</t>
  </si>
  <si>
    <t>E tender- Tender Odisha Portal</t>
  </si>
  <si>
    <t>E tender- Enivida Odisha Portal</t>
  </si>
  <si>
    <t>LOT</t>
  </si>
  <si>
    <t>submitted by the successful bidder within 30 days of issue of work order</t>
  </si>
  <si>
    <t>GEM/2026/B/7553638</t>
  </si>
  <si>
    <t>Odisha Postal Circle Department Of Posts</t>
  </si>
  <si>
    <t>38 Months</t>
  </si>
  <si>
    <t>All in One PC (V2) (Q2) , Entry and Mid Level Desktop Computer (Q2)</t>
  </si>
  <si>
    <t>E Tender - Mstc Ecommerce portal</t>
  </si>
  <si>
    <t xml:space="preserve">Servers </t>
  </si>
  <si>
    <t>GEM/2026/B/7618412</t>
  </si>
  <si>
    <t>Revenue And Disaster Management Department Odisha_Collector Cuttack</t>
  </si>
  <si>
    <t>GEM/2026/B/7609012</t>
  </si>
  <si>
    <t>Odisha Computer Application Centre Bhubaneswar</t>
  </si>
  <si>
    <t>63 Months</t>
  </si>
  <si>
    <t>Gem Link and BOQ</t>
  </si>
  <si>
    <t>Blade Server (V2) , Servers (V2) , Layer 3 Managed Network Switches (Core/Distribution Grade)</t>
  </si>
  <si>
    <t>TATA Power and Odisha Government Joint Venture_TPCODL</t>
  </si>
  <si>
    <t>TPCODL/CCG/26-27/1000009821</t>
  </si>
  <si>
    <t>E Tender- Sap Ariba Portal</t>
  </si>
  <si>
    <t>CPU Server</t>
  </si>
  <si>
    <t>RA NO: GEM/2026/R/680116
RA Start Date: 11-06-2026 2:00 PM
RA End Date:   12-06-2026 2:00 PM</t>
  </si>
  <si>
    <t>GEM/2026/B/7622965</t>
  </si>
  <si>
    <t>Managed Network Switches</t>
  </si>
  <si>
    <t>62 Months</t>
  </si>
  <si>
    <t>EMD EXEMPTION</t>
  </si>
  <si>
    <t>GL TECH</t>
  </si>
  <si>
    <t>Powtech</t>
  </si>
  <si>
    <t>Axis</t>
  </si>
  <si>
    <t>DPH/NCD/2026/01</t>
  </si>
  <si>
    <t>H&amp;FW Dept., Govt. of Odisha</t>
  </si>
  <si>
    <t xml:space="preserve">Firewall , switch , server , storage , oprating system software , desktop, printer,ups ,phones, video wall , barcode scanner , inverter and other accessories </t>
  </si>
  <si>
    <t>Lot</t>
  </si>
  <si>
    <t>The guarantee
shall be in the form of Government securities or fixed Deposit Receipts or Bank Guarantee or Guarantee bonds of any 6 Nationalized Bank of India and will be released after 2 months of total contract period i.e. 62 months.</t>
  </si>
  <si>
    <t>EMD valid for 180
days from the due date of the tender</t>
  </si>
  <si>
    <t>GEM/2026/B/7663856</t>
  </si>
  <si>
    <t>NAS Hard Disk, DDR4 ECC SODIMM RAM, NVMe NAS</t>
  </si>
  <si>
    <t>Niser (National Institute Of Science Education &amp; Research), Bhubaneswar</t>
  </si>
  <si>
    <t>GEM/2026/B/7676210</t>
  </si>
  <si>
    <t>Water Resources Department_bhubaneswar</t>
  </si>
  <si>
    <t>GEM/2026/B/7682121</t>
  </si>
  <si>
    <t>Planning And Convergence Department Odisha</t>
  </si>
  <si>
    <t>A4 and Legal Size Multifunction Printer (MFP) (Q2)</t>
  </si>
  <si>
    <t>OCAC-ITC-INFRA-0001-2026-26038</t>
  </si>
  <si>
    <t>Supply, Testing, Installation &amp; Commissioning of Servo Voltage Controller</t>
  </si>
  <si>
    <t xml:space="preserve">Mannual </t>
  </si>
  <si>
    <t>Odisha Tourism Development Corporation (OTDC)</t>
  </si>
  <si>
    <t>3511/HS/VI-56/24-25</t>
  </si>
  <si>
    <t>Desktop , scanner, Ups , Antivirus , Ms office and Adobe acrobat software</t>
  </si>
  <si>
    <t>36 Months
PBG must be submitted within 15 (fifteen) days from the date of issuance of the LoA</t>
  </si>
  <si>
    <t>GEM/2026/B/7679922</t>
  </si>
  <si>
    <t>Gem link</t>
  </si>
  <si>
    <t>GEM/2026/B/7707604</t>
  </si>
  <si>
    <t>Central Board Of Direct Taxes (cbdt)</t>
  </si>
  <si>
    <t>IIIT -Bh/21228/250</t>
  </si>
  <si>
    <t>IIIT Bhubaneswar</t>
  </si>
  <si>
    <t xml:space="preserve">90 days </t>
  </si>
  <si>
    <t>GEM/2026/B/7677370</t>
  </si>
  <si>
    <t>GEM/2026/B/7711772</t>
  </si>
  <si>
    <t>Firewall (V4) (Q2)</t>
  </si>
  <si>
    <t>Indian Institutes Of Science Education And Research (iiser) Berhempur</t>
  </si>
  <si>
    <t>ITECHNYSYS</t>
  </si>
  <si>
    <t>https://mkp.gem.gov.in/entry-mid-level-desktop-computer/s6690g-win-11-home-16gb-19-5-3/p-5116877-66512160329-cat.html#variant_id=5116877-66512160329
https://mkp.gem.gov.in/a4-legal-size-multifunction-printer-mfp/hp-lj-pro-mfp-m329dw-ptr-with-1/p-5116877-16069160541-cat.html#variant_id=5116877-16069160541
https://mkp.gem.gov.in/line-interactive-ups-with-avr-v2/600va-line-interactive-ups-with-avr/p-5116877-69577676278-cat.html#variant_id=5116877-69577676278</t>
  </si>
  <si>
    <t>Darwin Memorial Degree College Kudumulugumma_MALKANGIRI</t>
  </si>
  <si>
    <t>GEM/2026/B/7675066</t>
  </si>
  <si>
    <t>https://mkp.gem.gov.in/entry-mid-level-desktop-computer/hp-280-g9-mt-i5-12400-win11h-165125/p-5116877-12206515335-cat.html#variant_id=5116877-12206515335
https://mkp.gem.gov.in/a4-legal-size-multifunction-printer-mfp/hp-laser-mfp-323sdnw-printer-with-1-year/p-5116877-49094661553-cat.html#variant_id=5116877-49094661553
https://mkp.gem.gov.in/a4-legal-size-multifunction-printer-mfp/hp-laser-mfp-355sdnw-printer-with-1-year/p-5116877-70343399117-cat.html#variant_id=5116877-70343399117
https://mkp.gem.gov.in/line-interactive-ups-with-avr-v2/legend-650/p-5116877-31741732776-cat.html#variant_id=5116877-31741732776</t>
  </si>
  <si>
    <t xml:space="preserve">EMD EXEMPTION </t>
  </si>
  <si>
    <t>GEM/2026/B/7727559</t>
  </si>
  <si>
    <t>Ministry Of Information And Broadcasting_All India Radio Cuttack</t>
  </si>
  <si>
    <t>GEM/2026/B/7739135</t>
  </si>
  <si>
    <t>Central Tool Room &amp; Training Centre CTTC</t>
  </si>
  <si>
    <t>Sophos Firewall Subscription Renewal</t>
  </si>
  <si>
    <t>SAI INFOTEL</t>
  </si>
  <si>
    <t>Tender is not participated due to invalid BOQ and macro BOQ excel sheet is wrong</t>
  </si>
  <si>
    <t>GEM/2026/B/7682800</t>
  </si>
  <si>
    <t>Odisha Police (State Police Headquarters)</t>
  </si>
  <si>
    <t>GEM/2026/B/7753185</t>
  </si>
  <si>
    <t>38 months</t>
  </si>
  <si>
    <t>L1-ITECHNYSYS</t>
  </si>
  <si>
    <t>GEM/2026/B/7770582</t>
  </si>
  <si>
    <t>https://mkp.gem.gov.in/all-one-pc-v2/hp-440-g9-aio-i7-14700-win11p-1611/p-5116877-62273360120-cat.html#variant_id=5116877-62273360120
https://mkp.gem.gov.in/all-one-pc-v2/hp-440-g9-aio-i7-14700-vpro-win11p/p-5116877-98897041252-cat.html</t>
  </si>
  <si>
    <t>GEM/2026/B/7761534</t>
  </si>
  <si>
    <t>Revenue And Disaster Management Department_Bhadrak</t>
  </si>
  <si>
    <t>36 Months</t>
  </si>
  <si>
    <t>https://mkp.gem.gov.in/video-conferencing-end-point/peoplelink-impact-pro-codec-elite-4k-12x-micrphn/p-5116877-82122081970-cat.html#variant_id=5116877-82122081970</t>
  </si>
  <si>
    <t>GEM/2026/B/7761467</t>
  </si>
  <si>
    <t>Video Conferencing End Point (Q2)</t>
  </si>
  <si>
    <t>Paradeep Municipality Paradeep</t>
  </si>
  <si>
    <t>GEM/2026/B/7805657</t>
  </si>
  <si>
    <t>Central Tool Room &amp; Training Centre</t>
  </si>
  <si>
    <t>GEM/2026/B/7805497</t>
  </si>
  <si>
    <t>IIIT -Bh/21215(2)/307</t>
  </si>
  <si>
    <t>All In One Desktop</t>
  </si>
  <si>
    <t>GEM/2026/B/7784111</t>
  </si>
  <si>
    <t>Desktop Computer (All in One)</t>
  </si>
  <si>
    <t>GEM/2026/B/7810421</t>
  </si>
  <si>
    <t>All in One PC (V2) (Q2) , Line Interactive UPS with AVR (V2) (Q2) , A4 and Legal Size Multifunction Printer (MFP) (Q2)</t>
  </si>
  <si>
    <t>GEM/2026/B/7783206</t>
  </si>
  <si>
    <t>Odisha Postal Circle Department</t>
  </si>
  <si>
    <t>https://mkp.gem.gov.in/a4-legal-size-multifunction-printer-mfp/hp-smart-tank-521-aio-printer-with-1/p-5116877-13102146720-cat.html#variant_id=5116877-13102146720
https://mkp.gem.gov.in/all-one-pc-v2/veriton-z4694g-win-11-home-16gb/p-5116877-74556101430-cat.html
https://mkp.gem.gov.in/line-interactive-ups-with-avr-v2/legend-650/p-5116877-32990761412-cat.html</t>
  </si>
  <si>
    <t>POWERTECH</t>
  </si>
  <si>
    <t>WIZERTECH</t>
  </si>
  <si>
    <t>GEM/2026/B/7781538</t>
  </si>
  <si>
    <t>High End Laptop - Notebook (Q2)</t>
  </si>
  <si>
    <t>Opgc Banharpali</t>
  </si>
  <si>
    <t>GEM/2026/B/7824897</t>
  </si>
  <si>
    <t>Intelligence Bureau-Sib Bhubaneswar</t>
  </si>
  <si>
    <t>https://mkp.gem.gov.in/entry-mid-level-desktop-computer/hp-280-g9-mt-i3-12100-win11p-16512ssd13/p-5116877-74061834014-cat.html</t>
  </si>
  <si>
    <t>GEM/2026/B/7803308</t>
  </si>
  <si>
    <t>Sever with GPU Card</t>
  </si>
  <si>
    <t>400000
3%</t>
  </si>
  <si>
    <t>GEM/2026/B/7833351</t>
  </si>
  <si>
    <t>District Court Angul</t>
  </si>
  <si>
    <t>Entry and Mid Level Desktop Computer (Q2) , A4 and Legal Size Multifunction Printer (MFP) (Q2) , Line Interactive UPS with AVR (V2) (Q2) , Antivirus Software (Q2)</t>
  </si>
  <si>
    <t>GEM/2026/B/7650953</t>
  </si>
  <si>
    <t>Bharat Sanchar Nigam Limited Portal(bsnl)</t>
  </si>
  <si>
    <t>https://mkp.gem.gov.in/entry-mid-level-desktop-computer/x4240g-mt-win-11-home/p-5116877-76346210694-cat.html</t>
  </si>
  <si>
    <t>170414
5%</t>
  </si>
  <si>
    <t>GEM/2026/B/7699342</t>
  </si>
  <si>
    <t>NRHM_Nayapali</t>
  </si>
  <si>
    <t>Next Generation Firewall Software (Q2)</t>
  </si>
  <si>
    <t>7463/OSH&amp;FW/306/23</t>
  </si>
  <si>
    <t>RENEWAL OF SUBSCRIPTION/LICENSES OF EXISTING ANTIVIRUS</t>
  </si>
  <si>
    <t>GEM/2026/B/7839979</t>
  </si>
  <si>
    <t xml:space="preserve">Odisha Highcourt _Cuttack </t>
  </si>
  <si>
    <t>65 months</t>
  </si>
  <si>
    <t>https://mkp.gem.gov.in/entry-mid-level-desktop-computer/hp-280-g9-mt-i5-12400-win11p-161ssd3/p-5116877-9003701012-cat.html#variant_id=5116877-9003701012
https://mkp.gem.gov.in/a4-legal-size-multifunction-printer-mfp/hp-laser-mfp-323sdnw-printer-with-1-year/p-5116877-49094661553-cat.html#variant_id=5116877-49094661553
https://mkp.gem.gov.in/line-interactive-ups-with-avr-v2/legend-650/p-5116877-31741732776-cat.html#variant_id=5116877-31741732776
https://mkp.gem.gov.in/antivirus-software/quick-heal-total-shield-5-user-1-year/p-5116877-90518445859-cat.html#variant_id=5116877-90518445859</t>
  </si>
  <si>
    <t>https://mkp.gem.gov.in/fixed-computer-workstation/hp-z2-g1i-u5-235-win11p-1621-rtx/p-5116877-65898027162-cat.html#variant_id=5116877-65898027162</t>
  </si>
  <si>
    <t>GEM/2026/B/7854002</t>
  </si>
  <si>
    <t>GEM/2026/B/7856243</t>
  </si>
  <si>
    <t>Instiute Of Physcis Bhubaneswar</t>
  </si>
  <si>
    <t>https://mkp.gem.gov.in/high-end-laptop-notebook/dell-pro-14-pc14250/p-5116877-68017087922-cat.html#variant_id=5116877-68017087922</t>
  </si>
  <si>
    <t>GEM/2026/B/7753678</t>
  </si>
  <si>
    <t xml:space="preserve">E-Tender - Cpp Eprocurement portal </t>
  </si>
  <si>
    <t>Renewal of License of the Firewall Sophos XGS 4300 for 3 years including Hardware Warranty and 24/7 support</t>
  </si>
  <si>
    <t>NIFT_BBSR</t>
  </si>
  <si>
    <t>e-14/2026 (Pur-Bbsr)</t>
  </si>
  <si>
    <t>https://mkp.gem.gov.in/high-end-desktop-computer/dell-optiplex-tower-7020/p-5116877-58386864218-cat.html#variant_id=5116877-58386864218</t>
  </si>
  <si>
    <t>OCAC-SEGP INFRA-0083-2025/ENQ/26042</t>
  </si>
  <si>
    <t>E-Tender - OCAC Enivida Odisha Portal</t>
  </si>
  <si>
    <t>Supply &amp; Installation of AIO Desktops, Laptops, Laser MFP, Scanners, A3 Size Photo Copier and WiFi equipment &amp; Accessories</t>
  </si>
  <si>
    <t>Ocac</t>
  </si>
  <si>
    <t>GEM/2026/B/7857031</t>
  </si>
  <si>
    <t>GEM/2026/B/7827108</t>
  </si>
  <si>
    <t>Central Institute Of Plastics Engineering And Technology (cipet)</t>
  </si>
  <si>
    <t>Prem Bhoi</t>
  </si>
  <si>
    <t>CP PLUS 2 MP IP Dome Camera , CP PLUS 2 MP IP Bullet
Camera , 8 Port Giga Desktop Switch TP LINK , 6U Loaded
Rack , 4U Rack , POE Box , Cat 6 Cable , IO Box , RJ 45
Connector , 5X5 PVC Box , PVC Pipe 25 MM , PVC Pipe 20
MM</t>
  </si>
  <si>
    <t>PBG must be
submitted within 15 (fifteen) days from the date of issuance of the LoA validity 36 months</t>
  </si>
  <si>
    <t>GEM/2026/B/7804866</t>
  </si>
  <si>
    <t>Indian Institute Of Management (iim)_Calcutta</t>
  </si>
  <si>
    <t>AMC of Integrated Security and Surveillance System</t>
  </si>
  <si>
    <t xml:space="preserve">AMC service </t>
  </si>
  <si>
    <t>GEM/2026/B/7835877</t>
  </si>
  <si>
    <t>Iocl- Paradip Refinery</t>
  </si>
  <si>
    <t>CCTV SYSTEM WITH ALL ACCESSORIES</t>
  </si>
  <si>
    <t>24 months</t>
  </si>
  <si>
    <t>RAILTEL/ER/MKT/EOI/2026-27/051</t>
  </si>
  <si>
    <t>E-Tender - Railtel Enivida Odisha Portal</t>
  </si>
  <si>
    <t>RailTel Corporation of India Ltd.</t>
  </si>
  <si>
    <t>Design, Development, Implementation, Operation, and Maintenance of a Cancer Care Command Centre (C4).</t>
  </si>
  <si>
    <t>2950
5900</t>
  </si>
  <si>
    <t>Globx</t>
  </si>
  <si>
    <t>GEM/2026/B/7861071</t>
  </si>
  <si>
    <t>IIIT -Bh/21220/313</t>
  </si>
  <si>
    <t>Design, Development, Implementation, Operation, and Maintenance of a Cancer Care Command Centre (C4)</t>
  </si>
  <si>
    <t>GEM/2026/B/7895215</t>
  </si>
  <si>
    <t>Prasar Bharati Broadcasting Corporation Of India</t>
  </si>
  <si>
    <t>66 months</t>
  </si>
  <si>
    <t>GEM/2026/B/7836908</t>
  </si>
  <si>
    <t>Odisha Power Transmission Corporation Limited (optcl) Bhubaneswar</t>
  </si>
  <si>
    <t>https://mkp.gem.gov.in/all-one-pc-v2/hp-440-g9-aio-i5-14500-win11p-85121/p-5116877-79996277498-cat.html#variant_id=5116877-79996277498</t>
  </si>
  <si>
    <t>GEM/2026/B/7908170</t>
  </si>
  <si>
    <t>Commissioner -cum Secretary, Employment And Technical
Education And Training Department Odisha,bhubaneswar</t>
  </si>
  <si>
    <t>All in One PC (V2) (Q2) , Computer Printer (V2) (Q2)</t>
  </si>
  <si>
    <t>GEM/2026/B/7899374</t>
  </si>
  <si>
    <t>GEM/2026/B/7773321</t>
  </si>
  <si>
    <t>V-SPHERE LICENSE FOR DELL HCI NODES.</t>
  </si>
  <si>
    <t>60000
5%</t>
  </si>
  <si>
    <t>https://mkp.gem.gov.in/all-one-pc-v2/dell-pro-24-all-one-qc24250-65w/p-5116877-14076018409-cat.html#variant_id=5116877-14076018409</t>
  </si>
  <si>
    <t>GEM/2026/B/7931617</t>
  </si>
  <si>
    <t>Automatic Envelope Making Machine , Envelope Die Punch Machine.</t>
  </si>
  <si>
    <t>General Administration (sa)_Tripura</t>
  </si>
  <si>
    <t>GEM/2026/B/7931416</t>
  </si>
  <si>
    <t>GEM/2026/B/7927590</t>
  </si>
  <si>
    <t>High End Laptop - Notebook (Q2) , All in One PC (V2) (Q2)</t>
  </si>
  <si>
    <t>GEM/2026/B/7881740</t>
  </si>
  <si>
    <t>Directorate Of Technical Education And Training , Odisha , Cuttack</t>
  </si>
  <si>
    <t>https://mkp.gem.gov.in/entry-mid-level-desktop-computer/dell-dt/p-5116877-30580852800-cat.html#variant_id=5116877-30580852800</t>
  </si>
  <si>
    <t>GEM/2026/B/7902705</t>
  </si>
  <si>
    <t>GEM/2026/B/7929811</t>
  </si>
  <si>
    <t>Paralamaharaja Engineering College_Berhempur</t>
  </si>
  <si>
    <t>GEM/2026/B/7917913</t>
  </si>
  <si>
    <t>IISER(Indian Institutes Of Science Education And Research)_Berhempur</t>
  </si>
  <si>
    <t>ICT/000283</t>
  </si>
  <si>
    <t>Birla Institute of Technology, Mesra, Ranchi</t>
  </si>
  <si>
    <t>RADIUS SERVER (AAA) APPLIANCE</t>
  </si>
  <si>
    <t>GEM/2026/B/7910924</t>
  </si>
  <si>
    <t>High End Desktop Computer (Q2) , Interactive Panels with
CPU (Q2) , High End Laptop - Notebook (Q2)</t>
  </si>
  <si>
    <t>https://mkp.gem.gov.in/all-one-pc-v2/hp-440-g9-aio-i5-14500-win11h-8512ssd1/p-5116877-40902404181-cat.html#variant_id=5116877-40902404181</t>
  </si>
  <si>
    <t>F&amp;E/RKL-025(Offline)/2026-27</t>
  </si>
  <si>
    <t xml:space="preserve">NAS Storage Server &amp; Security System </t>
  </si>
  <si>
    <t>FOREST, ENVIRONMENT &amp; CLIMATE CHANGE DEPARTMENT OFFICE OF THE DIVISIONAL FOREST OFFICER, REDHAKHOL FOREST DIVISION_Sambalpur</t>
  </si>
  <si>
    <t>GEM/2026/B/7938211</t>
  </si>
  <si>
    <t>Renewal of Microsoft Campus Agreement for 03 Years</t>
  </si>
  <si>
    <t>All in One PC (V2) (Q2) , Line Interactive UPS with AVR (V2) (Q2) , Scanner (V3) (Q2)</t>
  </si>
  <si>
    <t>GEM/2026/B/7878602</t>
  </si>
  <si>
    <t>Line Interactive UPS with AVR (V2) (Q2)</t>
  </si>
  <si>
    <t>26 Months</t>
  </si>
  <si>
    <t>Installation and Maintenance of IP Based CCTV
Surveillance System</t>
  </si>
  <si>
    <t>OCAC_PMSHRI Schools of OSEPA, S&amp;ME Department, Govt. of Odisha</t>
  </si>
  <si>
    <t>Ocac-Enivida Portal</t>
  </si>
  <si>
    <t>15 Months</t>
  </si>
  <si>
    <t>OCAC-SEGP-INFRA-0026-2020/26055</t>
  </si>
  <si>
    <t xml:space="preserve">OCAC-SEGP-INFRA-0035-2026-26054 </t>
  </si>
  <si>
    <t>OCAC_Orissa High Court Building, Cuttack</t>
  </si>
  <si>
    <t>Facility Management Service and Annual Maintenance Contract of Unified Wireless Network System</t>
  </si>
  <si>
    <t>GEM/2026/B/7938058</t>
  </si>
  <si>
    <t>Panchayati Raj Department</t>
  </si>
  <si>
    <t>Entry and Mid Level Desktop Computer (Q2) ( PAC Only ) , Line Interactive UPS with AVR (V2) (Q2) ( PAC Only )</t>
  </si>
  <si>
    <t>https://mkp.gem.gov.in/entry-mid-level-desktop-computer/dell-vostro-3030-sff/p-5116877-28985736108-cat.html#variant_id=5116877-28985736108
https://mkp.gem.gov.in/line-interactive-ups-with-avr-v2/650va-offline-ups/p-5116877-33731291013-cat.html#variant_id=5116877-33731291013</t>
  </si>
  <si>
    <t>https://mkp.gem.gov.in/network-attached-storage-v2/inova-10000-series-with-64gb-ram/p-5116877-96888718208-cat.html#variant_id=5116877-96888718208
https://mkp.gem.gov.in/network-attached-storage-v2/inova-10000-series-with-64gb-ram/p-5116877-96888718208-cat.html#variant_id=5116877-96888718208</t>
  </si>
  <si>
    <t>GEM/2026/B/7972244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</si>
</sst>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[$-14009]dd\-mm\-yyyy;@"/>
    <numFmt numFmtId="165" formatCode="_ * #,##0_ ;_ * \-#,##0_ ;_ * &quot;-&quot;??_ ;_ @_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theme="9" tint="-0.499984740745262"/>
      <name val="Times New Roman"/>
      <family val="1"/>
    </font>
    <font>
      <u/>
      <sz val="11"/>
      <color theme="10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b/>
      <sz val="10"/>
      <name val="Times New Roman"/>
      <family val="1"/>
    </font>
    <font>
      <b/>
      <sz val="9"/>
      <name val="Times New Roman"/>
      <family val="1"/>
    </font>
    <font>
      <b/>
      <sz val="11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19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/>
    </xf>
    <xf numFmtId="43" fontId="3" fillId="3" borderId="1" xfId="1" applyFont="1" applyFill="1" applyBorder="1" applyAlignment="1">
      <alignment horizontal="center" vertical="center" wrapText="1"/>
    </xf>
    <xf numFmtId="43" fontId="3" fillId="3" borderId="1" xfId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20" fontId="4" fillId="0" borderId="1" xfId="0" applyNumberFormat="1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left" vertical="center"/>
    </xf>
    <xf numFmtId="165" fontId="4" fillId="0" borderId="1" xfId="1" applyNumberFormat="1" applyFont="1" applyBorder="1" applyAlignment="1">
      <alignment horizontal="left" vertical="center" wrapText="1"/>
    </xf>
    <xf numFmtId="165" fontId="4" fillId="0" borderId="1" xfId="1" applyNumberFormat="1" applyFont="1" applyBorder="1" applyAlignment="1">
      <alignment horizontal="center" vertical="center" wrapText="1"/>
    </xf>
    <xf numFmtId="0" fontId="6" fillId="0" borderId="1" xfId="2" applyFont="1" applyBorder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165" fontId="4" fillId="0" borderId="1" xfId="1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9" fontId="4" fillId="0" borderId="1" xfId="1" applyNumberFormat="1" applyFont="1" applyBorder="1" applyAlignment="1">
      <alignment horizontal="center" vertical="center"/>
    </xf>
    <xf numFmtId="0" fontId="4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5" fontId="4" fillId="0" borderId="0" xfId="1" applyNumberFormat="1" applyFont="1" applyAlignment="1">
      <alignment horizontal="left" vertical="center"/>
    </xf>
    <xf numFmtId="165" fontId="4" fillId="0" borderId="0" xfId="1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/>
    </xf>
    <xf numFmtId="43" fontId="3" fillId="0" borderId="1" xfId="1" applyFont="1" applyFill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9" fontId="4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/>
    </xf>
    <xf numFmtId="43" fontId="7" fillId="0" borderId="1" xfId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2" fillId="0" borderId="1" xfId="2" applyBorder="1" applyAlignment="1">
      <alignment horizontal="left" vertical="center" wrapText="1"/>
    </xf>
    <xf numFmtId="0" fontId="4" fillId="0" borderId="4" xfId="0" applyFont="1" applyBorder="1" applyAlignment="1">
      <alignment horizontal="center" vertical="center"/>
    </xf>
    <xf numFmtId="43" fontId="4" fillId="0" borderId="1" xfId="1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6" fillId="0" borderId="1" xfId="2" applyFont="1" applyBorder="1" applyAlignment="1">
      <alignment horizontal="left" vertical="top" wrapText="1"/>
    </xf>
    <xf numFmtId="165" fontId="4" fillId="0" borderId="1" xfId="1" applyNumberFormat="1" applyFont="1" applyBorder="1" applyAlignment="1">
      <alignment vertical="center" wrapText="1"/>
    </xf>
    <xf numFmtId="165" fontId="4" fillId="0" borderId="1" xfId="1" applyNumberFormat="1" applyFont="1" applyBorder="1" applyAlignment="1">
      <alignment vertical="center"/>
    </xf>
    <xf numFmtId="43" fontId="4" fillId="0" borderId="1" xfId="1" applyFont="1" applyBorder="1" applyAlignment="1">
      <alignment horizontal="center" vertical="center"/>
    </xf>
    <xf numFmtId="0" fontId="2" fillId="0" borderId="1" xfId="2" applyBorder="1" applyAlignment="1">
      <alignment horizontal="left" vertical="top" wrapText="1"/>
    </xf>
    <xf numFmtId="0" fontId="9" fillId="2" borderId="1" xfId="0" applyFont="1" applyFill="1" applyBorder="1" applyAlignment="1">
      <alignment horizontal="center" vertical="center" wrapText="1"/>
    </xf>
    <xf numFmtId="164" fontId="9" fillId="2" borderId="1" xfId="0" applyNumberFormat="1" applyFont="1" applyFill="1" applyBorder="1" applyAlignment="1">
      <alignment horizontal="center" vertical="center" wrapText="1"/>
    </xf>
    <xf numFmtId="19" fontId="9" fillId="2" borderId="1" xfId="0" applyNumberFormat="1" applyFont="1" applyFill="1" applyBorder="1" applyAlignment="1">
      <alignment horizontal="center" vertical="center" wrapText="1"/>
    </xf>
    <xf numFmtId="2" fontId="10" fillId="2" borderId="1" xfId="0" applyNumberFormat="1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4" fillId="0" borderId="0" xfId="0" applyFont="1"/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/>
    <xf numFmtId="0" fontId="6" fillId="0" borderId="1" xfId="2" applyFont="1" applyBorder="1" applyAlignment="1">
      <alignment wrapText="1"/>
    </xf>
    <xf numFmtId="0" fontId="6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top" wrapText="1"/>
    </xf>
    <xf numFmtId="0" fontId="4" fillId="5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2" applyBorder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2" fillId="0" borderId="1" xfId="2" applyBorder="1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43" fontId="4" fillId="0" borderId="1" xfId="0" applyNumberFormat="1" applyFont="1" applyBorder="1" applyAlignment="1">
      <alignment horizontal="left" vertical="center"/>
    </xf>
    <xf numFmtId="4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wrapText="1"/>
    </xf>
    <xf numFmtId="43" fontId="4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right" vertical="center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43" fontId="4" fillId="0" borderId="1" xfId="0" applyNumberFormat="1" applyFont="1" applyBorder="1" applyAlignment="1">
      <alignment vertical="center" wrapText="1"/>
    </xf>
    <xf numFmtId="43" fontId="0" fillId="0" borderId="1" xfId="1" applyFont="1" applyBorder="1" applyAlignment="1">
      <alignment vertical="center"/>
    </xf>
    <xf numFmtId="9" fontId="0" fillId="0" borderId="1" xfId="0" applyNumberFormat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/>
    </xf>
    <xf numFmtId="14" fontId="4" fillId="0" borderId="1" xfId="0" applyNumberFormat="1" applyFont="1" applyBorder="1" applyAlignment="1">
      <alignment vertical="top"/>
    </xf>
    <xf numFmtId="20" fontId="4" fillId="0" borderId="1" xfId="0" applyNumberFormat="1" applyFont="1" applyBorder="1" applyAlignment="1">
      <alignment horizontal="center" vertical="top"/>
    </xf>
    <xf numFmtId="0" fontId="11" fillId="0" borderId="1" xfId="0" applyFont="1" applyBorder="1" applyAlignment="1">
      <alignment horizontal="left" vertical="center"/>
    </xf>
    <xf numFmtId="43" fontId="4" fillId="0" borderId="1" xfId="0" applyNumberFormat="1" applyFon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kp.gem.gov.in/computer-printer-v2/hp-laserjet-pro3004dw-printer-with-1-year-warranty/p-5116877-85397410323-cat.html" TargetMode="External"/><Relationship Id="rId13" Type="http://schemas.openxmlformats.org/officeDocument/2006/relationships/hyperlink" Target="https://mkp.gem.gov.in/entry-mid-level-desktop-computer/hp-280-g9-mt-i5-12400-win11p-161ssd3/p-5116877-9003701012-cat.html" TargetMode="External"/><Relationship Id="rId18" Type="http://schemas.openxmlformats.org/officeDocument/2006/relationships/hyperlink" Target="https://mkp.gem.gov.in/fixed-computer-workstation/hp-z2-g1i-u5-235-win11p-1621-rtx/p-5116877-65898027162-cat.html" TargetMode="External"/><Relationship Id="rId3" Type="http://schemas.openxmlformats.org/officeDocument/2006/relationships/hyperlink" Target="https://mkp.gem.gov.in/entry-mid-level-desktop-computer/dell-dt/p-5116877-30580852800-cat.html" TargetMode="External"/><Relationship Id="rId21" Type="http://schemas.openxmlformats.org/officeDocument/2006/relationships/hyperlink" Target="https://mkp.gem.gov.in/entry-mid-level-desktop-computer/dell-dt/p-5116877-30580852800-cat.html" TargetMode="External"/><Relationship Id="rId7" Type="http://schemas.openxmlformats.org/officeDocument/2006/relationships/hyperlink" Target="https://mkp.gem.gov.in/all-one-pc-v2/hp-440-g9-aio-i7-13700-win11p-165121/p-5116877-12081650815-cat.html" TargetMode="External"/><Relationship Id="rId12" Type="http://schemas.openxmlformats.org/officeDocument/2006/relationships/hyperlink" Target="https://mkp.gem.gov.in/fixed-computer-workstation/hp-z2-twr-g9-i9-14900-win11p-64121/p-5116877-62333223517-cat.html" TargetMode="External"/><Relationship Id="rId17" Type="http://schemas.openxmlformats.org/officeDocument/2006/relationships/hyperlink" Target="https://mkp.gem.gov.in/fixed-computer-workstation/hp-z2-g1i-u5-235-win11p-1621-rtx/p-5116877-65898027162-cat.html" TargetMode="External"/><Relationship Id="rId2" Type="http://schemas.openxmlformats.org/officeDocument/2006/relationships/hyperlink" Target="https://mkp.gem.gov.in/entry-mid-level-desktop-computer/dell-dt/p-5116877-30580852800-cat.html" TargetMode="External"/><Relationship Id="rId16" Type="http://schemas.openxmlformats.org/officeDocument/2006/relationships/hyperlink" Target="https://mkp.gem.gov.in/entry-mid-level-desktop-computer/hp-280-g9-mt-i3-12100-win11p-16512ssd13/p-5116877-74061834014-cat.html" TargetMode="External"/><Relationship Id="rId20" Type="http://schemas.openxmlformats.org/officeDocument/2006/relationships/hyperlink" Target="https://mkp.gem.gov.in/all-one-pc-v2/dell-pro-24-all-one-qc24250-65w/p-5116877-14076018409-cat.html" TargetMode="External"/><Relationship Id="rId1" Type="http://schemas.openxmlformats.org/officeDocument/2006/relationships/hyperlink" Target="https://mkp.gem.gov.in/high-end-desktop-computer/dell-pro-tower-qct1250/p-5116877-52945780439-cat.html" TargetMode="External"/><Relationship Id="rId6" Type="http://schemas.openxmlformats.org/officeDocument/2006/relationships/hyperlink" Target="https://mkp.gem.gov.in/high-end-desktop-computer/dell-pro-slim-qcs1250/p-5116877-70975478154-cat.html" TargetMode="External"/><Relationship Id="rId11" Type="http://schemas.openxmlformats.org/officeDocument/2006/relationships/hyperlink" Target="https://mkp.gem.gov.in/office-suite-software-v3/office-professional-plus-2024-slng-ltsc-select-plus/p-5116877-44868898336-cat.html" TargetMode="External"/><Relationship Id="rId24" Type="http://schemas.openxmlformats.org/officeDocument/2006/relationships/printerSettings" Target="../printerSettings/printerSettings1.bin"/><Relationship Id="rId5" Type="http://schemas.openxmlformats.org/officeDocument/2006/relationships/hyperlink" Target="https://mkp.gem.gov.in/video-conferencing-end-point/peoplelink-4k-impact-codec-1-8-4k-20x/p-5116877-2646587537-cat.html" TargetMode="External"/><Relationship Id="rId15" Type="http://schemas.openxmlformats.org/officeDocument/2006/relationships/hyperlink" Target="https://mkp.gem.gov.in/entry-mid-level-desktop-computer/hp-280-g9-mt-i5-12400-win11h-165125/p-5116877-12206515335-cat.html" TargetMode="External"/><Relationship Id="rId23" Type="http://schemas.openxmlformats.org/officeDocument/2006/relationships/hyperlink" Target="https://mkp.gem.gov.in/network-attached-storage-v2/inova-10000-series-with-64gb-ram/p-5116877-96888718208-cat.html" TargetMode="External"/><Relationship Id="rId10" Type="http://schemas.openxmlformats.org/officeDocument/2006/relationships/hyperlink" Target="https://mkp.gem.gov.in/fixed-computer-workstation/dell-precision-3680-tower/p-5116877-43007898741-cat.html" TargetMode="External"/><Relationship Id="rId19" Type="http://schemas.openxmlformats.org/officeDocument/2006/relationships/hyperlink" Target="https://mkp.gem.gov.in/high-end-laptop-notebook/dell-pro-14-pc14250/p-5116877-68017087922-cat.html" TargetMode="External"/><Relationship Id="rId4" Type="http://schemas.openxmlformats.org/officeDocument/2006/relationships/hyperlink" Target="https://mkp.gem.gov.in/online-ups-10-kva-with-battery-conforming-16242/2-kva-online-ups-with-battery/p-5116877-50132615929-cat.html" TargetMode="External"/><Relationship Id="rId9" Type="http://schemas.openxmlformats.org/officeDocument/2006/relationships/hyperlink" Target="https://mkp.gem.gov.in/all-one-pc-v2/hp-440-g9-aio-i5-14500-win11p-165121/p-5116877-91592101388-cat.html" TargetMode="External"/><Relationship Id="rId14" Type="http://schemas.openxmlformats.org/officeDocument/2006/relationships/hyperlink" Target="https://mkp.gem.gov.in/servers-v2/dell-emc-poweredge-r660xs/p-5116877-33248410220-cat.html" TargetMode="External"/><Relationship Id="rId22" Type="http://schemas.openxmlformats.org/officeDocument/2006/relationships/hyperlink" Target="https://mkp.gem.gov.in/high-end-desktop-computer/dell-optiplex-tower-7020/p-5116877-58386864218-cat.html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mkp.gem.gov.in/all-one-pc-v2/hp-440-g9-aio-i7-14700-win11p-1611/p-5116877-62273360120-cat.html" TargetMode="External"/><Relationship Id="rId13" Type="http://schemas.openxmlformats.org/officeDocument/2006/relationships/hyperlink" Target="https://mkp.gem.gov.in/line-interactive-ups-with-avr-v2/650va-offline-ups/p-5116877-33731291013-cat.html" TargetMode="External"/><Relationship Id="rId3" Type="http://schemas.openxmlformats.org/officeDocument/2006/relationships/hyperlink" Target="https://mkp.gem.gov.in/entry-mid-level-desktop-computer/dell-dt/p-5116877-30580852800-cat.html" TargetMode="External"/><Relationship Id="rId7" Type="http://schemas.openxmlformats.org/officeDocument/2006/relationships/hyperlink" Target="https://mkp.gem.gov.in/line-interactive-ups-with-avr-v2/legend-650-mtkur65/p-5116877-12020907962-cat.html" TargetMode="External"/><Relationship Id="rId12" Type="http://schemas.openxmlformats.org/officeDocument/2006/relationships/hyperlink" Target="https://mkp.gem.gov.in/all-one-pc-v2/hp-440-g9-aio-i5-14500-win11h-8512ssd1/p-5116877-40902404181-cat.html" TargetMode="External"/><Relationship Id="rId2" Type="http://schemas.openxmlformats.org/officeDocument/2006/relationships/hyperlink" Target="https://mkp.gem.gov.in/all-one-pc-v2/dell-optiplex-7420-aio/p-5116877-53432627204-cat.html" TargetMode="External"/><Relationship Id="rId1" Type="http://schemas.openxmlformats.org/officeDocument/2006/relationships/hyperlink" Target="https://mkp.gem.gov.in/inverter-v2/1600va-1275w/p-5116877-13892263221-cat.html" TargetMode="External"/><Relationship Id="rId6" Type="http://schemas.openxmlformats.org/officeDocument/2006/relationships/hyperlink" Target="https://mkp.gem.gov.in/computer-keyboards/hp-115-wireless-keyboard-india/p-5116877-98207736283-cat.html" TargetMode="External"/><Relationship Id="rId11" Type="http://schemas.openxmlformats.org/officeDocument/2006/relationships/hyperlink" Target="https://mkp.gem.gov.in/all-one-pc-v2/hp-440-g9-aio-i5-14500-win11p-85121/p-5116877-79996277498-cat.html" TargetMode="External"/><Relationship Id="rId5" Type="http://schemas.openxmlformats.org/officeDocument/2006/relationships/hyperlink" Target="https://mkp.gem.gov.in/a4-legal-size-multifunction-printer-mfp/hp-lj-pro-mfp-m329dw-ptr-with-1/p-5116877-16069160541-cat.html" TargetMode="External"/><Relationship Id="rId10" Type="http://schemas.openxmlformats.org/officeDocument/2006/relationships/hyperlink" Target="https://mkp.gem.gov.in/entry-mid-level-desktop-computer/x4240g-mt-win-11-home/p-5116877-76346210694-cat.html" TargetMode="External"/><Relationship Id="rId4" Type="http://schemas.openxmlformats.org/officeDocument/2006/relationships/hyperlink" Target="https://mkp.gem.gov.in/line-interactive-ups-with-avr-v2/legend-650-mtkur65/p-5116877-12020907962-cat.html" TargetMode="External"/><Relationship Id="rId9" Type="http://schemas.openxmlformats.org/officeDocument/2006/relationships/hyperlink" Target="https://mkp.gem.gov.in/video-conferencing-end-point/peoplelink-impact-pro-codec-elite-4k-12x-micrphn/p-5116877-82122081970-ca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32"/>
  <sheetViews>
    <sheetView tabSelected="1" workbookViewId="0">
      <pane ySplit="1" topLeftCell="A46" activePane="bottomLeft" state="frozen"/>
      <selection pane="bottomLeft" activeCell="G56" sqref="G56"/>
    </sheetView>
  </sheetViews>
  <sheetFormatPr defaultColWidth="8.7109375" defaultRowHeight="15" x14ac:dyDescent="0.25"/>
  <cols>
    <col min="1" max="1" width="6" style="10" bestFit="1" customWidth="1"/>
    <col min="2" max="2" width="40" style="21" customWidth="1"/>
    <col min="3" max="3" width="18.28515625" style="21" bestFit="1" customWidth="1"/>
    <col min="4" max="4" width="18.5703125" style="21" customWidth="1"/>
    <col min="5" max="5" width="10.42578125" style="21" bestFit="1" customWidth="1"/>
    <col min="6" max="6" width="12.140625" style="21" bestFit="1" customWidth="1"/>
    <col min="7" max="7" width="19.5703125" style="21" bestFit="1" customWidth="1"/>
    <col min="8" max="8" width="79.42578125" style="32" customWidth="1"/>
    <col min="9" max="9" width="55.140625" style="21" customWidth="1"/>
    <col min="10" max="10" width="6" style="10" bestFit="1" customWidth="1"/>
    <col min="11" max="11" width="12" style="21" bestFit="1" customWidth="1"/>
    <col min="12" max="12" width="14.85546875" style="21" customWidth="1"/>
    <col min="13" max="13" width="8.28515625" style="10" bestFit="1" customWidth="1"/>
    <col min="14" max="14" width="31.5703125" style="10" customWidth="1"/>
    <col min="15" max="15" width="21.7109375" style="10" customWidth="1"/>
    <col min="16" max="16" width="12.42578125" style="10" bestFit="1" customWidth="1"/>
    <col min="17" max="17" width="31.85546875" style="21" customWidth="1"/>
    <col min="18" max="18" width="15.140625" style="21" bestFit="1" customWidth="1"/>
    <col min="19" max="19" width="16" style="21" bestFit="1" customWidth="1"/>
    <col min="20" max="20" width="18.5703125" style="21" customWidth="1"/>
    <col min="21" max="21" width="16.140625" style="21" customWidth="1"/>
    <col min="22" max="22" width="17.42578125" style="21" bestFit="1" customWidth="1"/>
    <col min="23" max="23" width="16.140625" style="21" bestFit="1" customWidth="1"/>
    <col min="24" max="24" width="12.28515625" style="21" bestFit="1" customWidth="1"/>
    <col min="25" max="25" width="10.5703125" style="21" bestFit="1" customWidth="1"/>
    <col min="26" max="26" width="12.5703125" style="21" bestFit="1" customWidth="1"/>
    <col min="27" max="27" width="56" style="32" bestFit="1" customWidth="1"/>
    <col min="28" max="28" width="12.28515625" style="21" bestFit="1" customWidth="1"/>
    <col min="29" max="16384" width="8.7109375" style="21"/>
  </cols>
  <sheetData>
    <row r="1" spans="1:28" s="10" customFormat="1" ht="28.5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4" t="s">
        <v>53</v>
      </c>
      <c r="H1" s="5" t="s">
        <v>54</v>
      </c>
      <c r="I1" s="5" t="s">
        <v>7</v>
      </c>
      <c r="J1" s="2" t="s">
        <v>8</v>
      </c>
      <c r="K1" s="2" t="s">
        <v>37</v>
      </c>
      <c r="L1" s="6" t="s">
        <v>65</v>
      </c>
      <c r="M1" s="6" t="s">
        <v>58</v>
      </c>
      <c r="N1" s="6" t="s">
        <v>61</v>
      </c>
      <c r="O1" s="6" t="s">
        <v>63</v>
      </c>
      <c r="P1" s="6" t="s">
        <v>62</v>
      </c>
      <c r="Q1" s="2" t="s">
        <v>10</v>
      </c>
      <c r="R1" s="2" t="s">
        <v>11</v>
      </c>
      <c r="S1" s="7" t="s">
        <v>12</v>
      </c>
      <c r="T1" s="8" t="s">
        <v>13</v>
      </c>
      <c r="U1" s="9" t="s">
        <v>14</v>
      </c>
      <c r="V1" s="6" t="s">
        <v>15</v>
      </c>
      <c r="W1" s="9" t="s">
        <v>16</v>
      </c>
      <c r="X1" s="6" t="s">
        <v>17</v>
      </c>
      <c r="Y1" s="9" t="s">
        <v>18</v>
      </c>
      <c r="Z1" s="9" t="s">
        <v>66</v>
      </c>
      <c r="AA1" s="5" t="s">
        <v>19</v>
      </c>
      <c r="AB1" s="2" t="s">
        <v>20</v>
      </c>
    </row>
    <row r="2" spans="1:28" s="10" customFormat="1" x14ac:dyDescent="0.25">
      <c r="A2" s="42">
        <v>1</v>
      </c>
      <c r="B2" s="51" t="s">
        <v>70</v>
      </c>
      <c r="C2" s="11" t="s">
        <v>19</v>
      </c>
      <c r="D2" s="11" t="s">
        <v>22</v>
      </c>
      <c r="E2" s="13">
        <v>46118</v>
      </c>
      <c r="F2" s="14">
        <v>0.625</v>
      </c>
      <c r="G2" s="15" t="s">
        <v>71</v>
      </c>
      <c r="H2" s="44" t="s">
        <v>75</v>
      </c>
      <c r="I2" s="47" t="s">
        <v>72</v>
      </c>
      <c r="J2" s="42">
        <v>515</v>
      </c>
      <c r="K2" s="42" t="s">
        <v>73</v>
      </c>
      <c r="L2" s="19">
        <v>600000</v>
      </c>
      <c r="M2" s="43">
        <v>0.05</v>
      </c>
      <c r="N2" s="45" t="s">
        <v>84</v>
      </c>
      <c r="O2" s="45"/>
      <c r="P2" s="45"/>
      <c r="Q2" s="42" t="s">
        <v>74</v>
      </c>
      <c r="R2" s="42" t="s">
        <v>94</v>
      </c>
      <c r="S2" s="46">
        <v>22158390</v>
      </c>
      <c r="T2" s="40"/>
      <c r="U2" s="41"/>
      <c r="V2" s="39"/>
      <c r="W2" s="41"/>
      <c r="X2" s="39"/>
      <c r="Y2" s="41"/>
      <c r="Z2" s="41"/>
      <c r="AA2" s="38"/>
      <c r="AB2" s="37"/>
    </row>
    <row r="3" spans="1:28" s="10" customFormat="1" x14ac:dyDescent="0.25">
      <c r="A3" s="42">
        <v>2</v>
      </c>
      <c r="B3" s="51" t="s">
        <v>92</v>
      </c>
      <c r="C3" s="11" t="s">
        <v>19</v>
      </c>
      <c r="D3" s="49" t="s">
        <v>57</v>
      </c>
      <c r="E3" s="13">
        <v>46118</v>
      </c>
      <c r="F3" s="14">
        <v>0.75</v>
      </c>
      <c r="G3" s="15" t="s">
        <v>71</v>
      </c>
      <c r="H3" s="44" t="s">
        <v>93</v>
      </c>
      <c r="I3" s="47" t="s">
        <v>72</v>
      </c>
      <c r="J3" s="42">
        <v>60</v>
      </c>
      <c r="K3" s="42" t="s">
        <v>73</v>
      </c>
      <c r="L3" s="22" t="s">
        <v>73</v>
      </c>
      <c r="M3" s="22" t="s">
        <v>73</v>
      </c>
      <c r="N3" s="45"/>
      <c r="O3" s="45"/>
      <c r="P3" s="45"/>
      <c r="Q3" s="42" t="s">
        <v>74</v>
      </c>
      <c r="R3" s="42" t="s">
        <v>94</v>
      </c>
      <c r="S3" s="46">
        <v>2554980</v>
      </c>
      <c r="T3" s="40"/>
      <c r="U3" s="41"/>
      <c r="V3" s="39"/>
      <c r="W3" s="41"/>
      <c r="X3" s="39"/>
      <c r="Y3" s="41"/>
      <c r="Z3" s="41"/>
      <c r="AA3" s="38"/>
      <c r="AB3" s="37"/>
    </row>
    <row r="4" spans="1:28" ht="105" x14ac:dyDescent="0.25">
      <c r="A4" s="42">
        <v>3</v>
      </c>
      <c r="B4" s="68" t="s">
        <v>21</v>
      </c>
      <c r="C4" s="11" t="s">
        <v>19</v>
      </c>
      <c r="D4" s="11" t="s">
        <v>22</v>
      </c>
      <c r="E4" s="13">
        <v>46120</v>
      </c>
      <c r="F4" s="14">
        <v>0.58333333333333337</v>
      </c>
      <c r="G4" s="15" t="s">
        <v>55</v>
      </c>
      <c r="H4" s="35" t="s">
        <v>23</v>
      </c>
      <c r="I4" s="16" t="s">
        <v>24</v>
      </c>
      <c r="J4" s="11">
        <v>66</v>
      </c>
      <c r="K4" s="22" t="s">
        <v>73</v>
      </c>
      <c r="L4" s="53">
        <v>100000</v>
      </c>
      <c r="M4" s="22" t="s">
        <v>73</v>
      </c>
      <c r="N4" s="19"/>
      <c r="O4" s="19"/>
      <c r="P4" s="19"/>
      <c r="Q4" s="11" t="s">
        <v>190</v>
      </c>
      <c r="R4" s="11" t="s">
        <v>83</v>
      </c>
      <c r="S4" s="55">
        <v>3234000</v>
      </c>
      <c r="T4" s="11" t="s">
        <v>95</v>
      </c>
      <c r="U4" s="55">
        <v>3283500</v>
      </c>
      <c r="V4" s="11" t="s">
        <v>96</v>
      </c>
      <c r="W4" s="55">
        <v>3300000</v>
      </c>
      <c r="X4" s="12"/>
      <c r="Y4" s="12"/>
      <c r="Z4" s="55">
        <v>3134670</v>
      </c>
      <c r="AA4" s="20" t="s">
        <v>69</v>
      </c>
      <c r="AB4" s="16" t="s">
        <v>97</v>
      </c>
    </row>
    <row r="5" spans="1:28" ht="30" x14ac:dyDescent="0.25">
      <c r="A5" s="42">
        <v>4</v>
      </c>
      <c r="B5" s="51" t="s">
        <v>89</v>
      </c>
      <c r="C5" s="11" t="s">
        <v>88</v>
      </c>
      <c r="D5" s="11" t="s">
        <v>22</v>
      </c>
      <c r="E5" s="13">
        <v>46120</v>
      </c>
      <c r="F5" s="14">
        <v>0.625</v>
      </c>
      <c r="G5" s="15" t="s">
        <v>71</v>
      </c>
      <c r="H5" s="35" t="s">
        <v>91</v>
      </c>
      <c r="I5" s="16" t="s">
        <v>90</v>
      </c>
      <c r="J5" s="11">
        <v>44</v>
      </c>
      <c r="K5" s="22" t="s">
        <v>73</v>
      </c>
      <c r="L5" s="19">
        <v>1223904</v>
      </c>
      <c r="M5" s="22" t="s">
        <v>73</v>
      </c>
      <c r="N5" s="19"/>
      <c r="O5" s="19"/>
      <c r="P5" s="19"/>
      <c r="Q5" s="69" t="s">
        <v>217</v>
      </c>
      <c r="R5" s="42" t="s">
        <v>94</v>
      </c>
      <c r="S5" s="55">
        <v>57837560</v>
      </c>
      <c r="T5" s="12"/>
      <c r="U5" s="12"/>
      <c r="V5" s="12"/>
      <c r="W5" s="12"/>
      <c r="X5" s="12"/>
      <c r="Y5" s="12"/>
      <c r="Z5" s="12"/>
      <c r="AA5" s="20"/>
      <c r="AB5" s="12"/>
    </row>
    <row r="6" spans="1:28" x14ac:dyDescent="0.25">
      <c r="A6" s="42">
        <v>5</v>
      </c>
      <c r="B6" s="12" t="s">
        <v>85</v>
      </c>
      <c r="C6" s="11" t="s">
        <v>88</v>
      </c>
      <c r="D6" s="11" t="s">
        <v>22</v>
      </c>
      <c r="E6" s="13">
        <v>46121</v>
      </c>
      <c r="F6" s="14">
        <v>0.79166666666666663</v>
      </c>
      <c r="G6" s="15" t="s">
        <v>71</v>
      </c>
      <c r="H6" s="35" t="s">
        <v>87</v>
      </c>
      <c r="I6" s="16" t="s">
        <v>86</v>
      </c>
      <c r="J6" s="11">
        <v>1</v>
      </c>
      <c r="K6" s="22" t="s">
        <v>73</v>
      </c>
      <c r="L6" s="22" t="s">
        <v>73</v>
      </c>
      <c r="M6" s="22" t="s">
        <v>73</v>
      </c>
      <c r="N6" s="19"/>
      <c r="O6" s="19"/>
      <c r="P6" s="19"/>
      <c r="Q6" s="11"/>
      <c r="R6" s="12"/>
      <c r="S6" s="12"/>
      <c r="T6" s="12"/>
      <c r="U6" s="12"/>
      <c r="V6" s="12"/>
      <c r="W6" s="12"/>
      <c r="X6" s="12"/>
      <c r="Y6" s="12"/>
      <c r="Z6" s="12"/>
      <c r="AA6" s="20"/>
      <c r="AB6" s="12"/>
    </row>
    <row r="7" spans="1:28" ht="30" x14ac:dyDescent="0.25">
      <c r="A7" s="42">
        <v>6</v>
      </c>
      <c r="B7" s="25" t="s">
        <v>33</v>
      </c>
      <c r="C7" s="99" t="s">
        <v>68</v>
      </c>
      <c r="D7" s="100"/>
      <c r="E7" s="23">
        <v>46122</v>
      </c>
      <c r="F7" s="14">
        <v>0.625</v>
      </c>
      <c r="G7" s="26" t="s">
        <v>56</v>
      </c>
      <c r="H7" s="35" t="s">
        <v>34</v>
      </c>
      <c r="I7" s="27" t="s">
        <v>35</v>
      </c>
      <c r="J7" s="28"/>
      <c r="K7" s="17">
        <v>11800</v>
      </c>
      <c r="L7" s="54">
        <v>155000</v>
      </c>
      <c r="M7" s="22"/>
      <c r="N7" s="19"/>
      <c r="O7" s="19"/>
      <c r="P7" s="19"/>
      <c r="Q7" s="11"/>
      <c r="R7" s="12"/>
      <c r="S7" s="12"/>
      <c r="T7" s="12"/>
      <c r="U7" s="12"/>
      <c r="V7" s="12"/>
      <c r="W7" s="12"/>
      <c r="X7" s="12"/>
      <c r="Y7" s="12"/>
      <c r="Z7" s="12"/>
      <c r="AA7" s="20"/>
      <c r="AB7" s="12"/>
    </row>
    <row r="8" spans="1:28" ht="105" x14ac:dyDescent="0.25">
      <c r="A8" s="42">
        <v>7</v>
      </c>
      <c r="B8" s="68" t="s">
        <v>25</v>
      </c>
      <c r="C8" s="11" t="s">
        <v>19</v>
      </c>
      <c r="D8" s="11" t="s">
        <v>22</v>
      </c>
      <c r="E8" s="13">
        <v>46125</v>
      </c>
      <c r="F8" s="14">
        <v>0.58333333333333337</v>
      </c>
      <c r="G8" s="15" t="s">
        <v>55</v>
      </c>
      <c r="H8" s="35" t="s">
        <v>26</v>
      </c>
      <c r="I8" s="16" t="s">
        <v>27</v>
      </c>
      <c r="J8" s="11">
        <v>20</v>
      </c>
      <c r="K8" s="17"/>
      <c r="L8" s="19">
        <v>20000</v>
      </c>
      <c r="M8" s="19"/>
      <c r="N8" s="19"/>
      <c r="O8" s="19" t="s">
        <v>125</v>
      </c>
      <c r="P8" s="19"/>
      <c r="Q8" s="35" t="s">
        <v>190</v>
      </c>
      <c r="R8" s="11" t="s">
        <v>83</v>
      </c>
      <c r="S8" s="50">
        <v>1000000</v>
      </c>
      <c r="T8" s="11" t="s">
        <v>95</v>
      </c>
      <c r="U8" s="50">
        <v>1010000</v>
      </c>
      <c r="V8" s="11" t="s">
        <v>126</v>
      </c>
      <c r="W8" s="50">
        <v>1015000</v>
      </c>
      <c r="X8" s="12"/>
      <c r="Y8" s="12"/>
      <c r="Z8" s="50">
        <v>898960</v>
      </c>
      <c r="AA8" s="20" t="s">
        <v>69</v>
      </c>
      <c r="AB8" s="12"/>
    </row>
    <row r="9" spans="1:28" ht="105" x14ac:dyDescent="0.25">
      <c r="A9" s="42">
        <v>8</v>
      </c>
      <c r="B9" s="51" t="s">
        <v>120</v>
      </c>
      <c r="C9" s="11" t="s">
        <v>19</v>
      </c>
      <c r="D9" s="11" t="s">
        <v>22</v>
      </c>
      <c r="E9" s="13">
        <v>46125</v>
      </c>
      <c r="F9" s="14">
        <v>0.5</v>
      </c>
      <c r="G9" s="15" t="s">
        <v>55</v>
      </c>
      <c r="H9" s="35" t="s">
        <v>123</v>
      </c>
      <c r="I9" s="16" t="s">
        <v>121</v>
      </c>
      <c r="J9" s="11">
        <v>28</v>
      </c>
      <c r="K9" s="17"/>
      <c r="L9" s="19">
        <v>72000</v>
      </c>
      <c r="M9" s="43">
        <v>0.05</v>
      </c>
      <c r="N9" s="19" t="s">
        <v>122</v>
      </c>
      <c r="O9" s="19"/>
      <c r="P9" s="19"/>
      <c r="Q9" s="11" t="s">
        <v>82</v>
      </c>
      <c r="R9" s="11" t="s">
        <v>94</v>
      </c>
      <c r="S9" s="50">
        <v>5127100</v>
      </c>
      <c r="T9" s="12"/>
      <c r="U9" s="12"/>
      <c r="V9" s="12"/>
      <c r="W9" s="12"/>
      <c r="X9" s="12"/>
      <c r="Y9" s="12"/>
      <c r="Z9" s="12"/>
      <c r="AA9" s="20" t="s">
        <v>124</v>
      </c>
      <c r="AB9" s="12"/>
    </row>
    <row r="10" spans="1:28" ht="30" x14ac:dyDescent="0.25">
      <c r="A10" s="42">
        <v>9</v>
      </c>
      <c r="B10" s="25" t="s">
        <v>79</v>
      </c>
      <c r="C10" s="11" t="s">
        <v>19</v>
      </c>
      <c r="D10" s="11" t="s">
        <v>57</v>
      </c>
      <c r="E10" s="23">
        <v>46125</v>
      </c>
      <c r="F10" s="14">
        <v>0.79166666666666663</v>
      </c>
      <c r="G10" s="26" t="s">
        <v>64</v>
      </c>
      <c r="H10" s="35" t="s">
        <v>81</v>
      </c>
      <c r="I10" s="24" t="s">
        <v>80</v>
      </c>
      <c r="J10" s="11">
        <v>1</v>
      </c>
      <c r="K10" s="22" t="s">
        <v>73</v>
      </c>
      <c r="L10" s="18"/>
      <c r="M10" s="19"/>
      <c r="N10" s="19"/>
      <c r="O10" s="19"/>
      <c r="P10" s="19"/>
      <c r="Q10" s="11"/>
      <c r="R10" s="12"/>
      <c r="S10" s="12"/>
      <c r="T10" s="12"/>
      <c r="U10" s="12"/>
      <c r="V10" s="12"/>
      <c r="W10" s="12"/>
      <c r="X10" s="12"/>
      <c r="Y10" s="12"/>
      <c r="Z10" s="12"/>
      <c r="AA10" s="20"/>
      <c r="AB10" s="12"/>
    </row>
    <row r="11" spans="1:28" ht="45" x14ac:dyDescent="0.25">
      <c r="A11" s="42">
        <v>10</v>
      </c>
      <c r="B11" s="51" t="s">
        <v>102</v>
      </c>
      <c r="C11" s="11" t="s">
        <v>19</v>
      </c>
      <c r="D11" s="11" t="s">
        <v>57</v>
      </c>
      <c r="E11" s="23">
        <v>46125</v>
      </c>
      <c r="F11" s="14">
        <v>0.625</v>
      </c>
      <c r="G11" s="15" t="s">
        <v>71</v>
      </c>
      <c r="H11" s="35" t="s">
        <v>103</v>
      </c>
      <c r="I11" s="24" t="s">
        <v>72</v>
      </c>
      <c r="J11" s="11">
        <v>150</v>
      </c>
      <c r="K11" s="22" t="s">
        <v>73</v>
      </c>
      <c r="L11" s="18">
        <v>128847</v>
      </c>
      <c r="M11" s="43">
        <v>0.05</v>
      </c>
      <c r="N11" s="19" t="s">
        <v>104</v>
      </c>
      <c r="O11" s="19"/>
      <c r="P11" s="19"/>
      <c r="Q11" s="11" t="s">
        <v>82</v>
      </c>
      <c r="R11" s="11" t="s">
        <v>94</v>
      </c>
      <c r="S11" s="50">
        <v>6516600</v>
      </c>
      <c r="T11" s="12"/>
      <c r="U11" s="12"/>
      <c r="V11" s="12"/>
      <c r="W11" s="12"/>
      <c r="X11" s="12"/>
      <c r="Y11" s="12"/>
      <c r="Z11" s="12"/>
      <c r="AA11" s="20" t="s">
        <v>128</v>
      </c>
      <c r="AB11" s="12"/>
    </row>
    <row r="12" spans="1:28" x14ac:dyDescent="0.25">
      <c r="A12" s="42">
        <v>11</v>
      </c>
      <c r="B12" s="51">
        <v>1230000182</v>
      </c>
      <c r="C12" s="99" t="s">
        <v>68</v>
      </c>
      <c r="D12" s="100"/>
      <c r="E12" s="23">
        <v>46126</v>
      </c>
      <c r="F12" s="14">
        <v>0.58333333333333337</v>
      </c>
      <c r="G12" s="15" t="s">
        <v>55</v>
      </c>
      <c r="H12" s="35" t="s">
        <v>36</v>
      </c>
      <c r="I12" s="24" t="s">
        <v>127</v>
      </c>
      <c r="J12" s="11">
        <v>13</v>
      </c>
      <c r="K12" s="22" t="s">
        <v>73</v>
      </c>
      <c r="L12" s="22" t="s">
        <v>73</v>
      </c>
      <c r="M12" s="22" t="s">
        <v>73</v>
      </c>
      <c r="N12" s="22"/>
      <c r="O12" s="22"/>
      <c r="P12" s="22"/>
      <c r="Q12" s="11" t="s">
        <v>82</v>
      </c>
      <c r="R12" s="11" t="s">
        <v>83</v>
      </c>
      <c r="S12" s="50">
        <v>1610676.99</v>
      </c>
      <c r="T12" s="78"/>
      <c r="U12" s="12"/>
      <c r="V12" s="12"/>
      <c r="W12" s="12"/>
      <c r="X12" s="12"/>
      <c r="Y12" s="12"/>
      <c r="Z12" s="12"/>
      <c r="AA12" s="20"/>
      <c r="AB12" s="12"/>
    </row>
    <row r="13" spans="1:28" ht="111.75" customHeight="1" x14ac:dyDescent="0.25">
      <c r="A13" s="42">
        <v>12</v>
      </c>
      <c r="B13" s="51" t="s">
        <v>28</v>
      </c>
      <c r="C13" s="11" t="s">
        <v>19</v>
      </c>
      <c r="D13" s="11" t="s">
        <v>22</v>
      </c>
      <c r="E13" s="13">
        <v>46126</v>
      </c>
      <c r="F13" s="14">
        <v>0.58333333333333337</v>
      </c>
      <c r="G13" s="15" t="s">
        <v>55</v>
      </c>
      <c r="H13" s="35" t="s">
        <v>29</v>
      </c>
      <c r="I13" s="16" t="s">
        <v>30</v>
      </c>
      <c r="J13" s="11">
        <v>40</v>
      </c>
      <c r="K13" s="22" t="s">
        <v>73</v>
      </c>
      <c r="L13" s="18">
        <v>150000</v>
      </c>
      <c r="M13" s="22" t="s">
        <v>73</v>
      </c>
      <c r="N13" s="19"/>
      <c r="O13" s="19"/>
      <c r="P13" s="19"/>
      <c r="Q13" s="11" t="s">
        <v>82</v>
      </c>
      <c r="R13" s="11" t="s">
        <v>83</v>
      </c>
      <c r="S13" s="50">
        <v>6475000</v>
      </c>
      <c r="T13" s="11" t="s">
        <v>95</v>
      </c>
      <c r="U13" s="55">
        <v>6511000</v>
      </c>
      <c r="V13" s="11" t="s">
        <v>96</v>
      </c>
      <c r="W13" s="55">
        <v>6600000</v>
      </c>
      <c r="X13" s="12"/>
      <c r="Y13" s="12"/>
      <c r="Z13" s="12"/>
      <c r="AA13" s="52" t="s">
        <v>129</v>
      </c>
      <c r="AB13" s="12"/>
    </row>
    <row r="14" spans="1:28" ht="48" customHeight="1" x14ac:dyDescent="0.25">
      <c r="A14" s="42">
        <v>13</v>
      </c>
      <c r="B14" s="51" t="s">
        <v>130</v>
      </c>
      <c r="C14" s="11" t="s">
        <v>19</v>
      </c>
      <c r="D14" s="11" t="s">
        <v>132</v>
      </c>
      <c r="E14" s="13">
        <v>46127</v>
      </c>
      <c r="F14" s="14">
        <v>0.83333333333333337</v>
      </c>
      <c r="G14" s="15" t="s">
        <v>55</v>
      </c>
      <c r="H14" s="35" t="s">
        <v>131</v>
      </c>
      <c r="I14" s="16" t="s">
        <v>121</v>
      </c>
      <c r="J14" s="11">
        <v>20</v>
      </c>
      <c r="K14" s="22" t="s">
        <v>73</v>
      </c>
      <c r="L14" s="19">
        <v>25000</v>
      </c>
      <c r="M14" s="19" t="s">
        <v>73</v>
      </c>
      <c r="N14" s="19"/>
      <c r="O14" s="19" t="s">
        <v>133</v>
      </c>
      <c r="P14" s="19"/>
      <c r="Q14" s="11" t="s">
        <v>82</v>
      </c>
      <c r="R14" s="11" t="s">
        <v>94</v>
      </c>
      <c r="S14" s="55">
        <v>2152320</v>
      </c>
      <c r="T14" s="12"/>
      <c r="U14" s="12"/>
      <c r="V14" s="12"/>
      <c r="W14" s="12"/>
      <c r="X14" s="12"/>
      <c r="Y14" s="12"/>
      <c r="Z14" s="12"/>
      <c r="AA14" s="56" t="s">
        <v>134</v>
      </c>
      <c r="AB14" s="12"/>
    </row>
    <row r="15" spans="1:28" ht="48" customHeight="1" x14ac:dyDescent="0.25">
      <c r="A15" s="42">
        <v>14</v>
      </c>
      <c r="B15" s="51" t="s">
        <v>146</v>
      </c>
      <c r="C15" s="11" t="s">
        <v>19</v>
      </c>
      <c r="D15" s="11" t="s">
        <v>132</v>
      </c>
      <c r="E15" s="13">
        <v>46128</v>
      </c>
      <c r="F15" s="14">
        <v>0.70833333333333337</v>
      </c>
      <c r="G15" s="15" t="s">
        <v>71</v>
      </c>
      <c r="H15" s="35" t="s">
        <v>147</v>
      </c>
      <c r="I15" s="16" t="s">
        <v>72</v>
      </c>
      <c r="J15" s="11">
        <v>198</v>
      </c>
      <c r="K15" s="22" t="s">
        <v>73</v>
      </c>
      <c r="L15" s="22" t="s">
        <v>73</v>
      </c>
      <c r="M15" s="22" t="s">
        <v>73</v>
      </c>
      <c r="N15" s="19"/>
      <c r="O15" s="19"/>
      <c r="P15" s="19"/>
      <c r="Q15" s="11" t="s">
        <v>82</v>
      </c>
      <c r="R15" s="11" t="s">
        <v>94</v>
      </c>
      <c r="S15" s="55">
        <v>560986</v>
      </c>
      <c r="T15" s="12"/>
      <c r="U15" s="12"/>
      <c r="V15" s="12"/>
      <c r="W15" s="12"/>
      <c r="X15" s="12"/>
      <c r="Y15" s="12"/>
      <c r="Z15" s="12"/>
      <c r="AA15" s="56"/>
      <c r="AB15" s="12"/>
    </row>
    <row r="16" spans="1:28" ht="228" customHeight="1" x14ac:dyDescent="0.25">
      <c r="A16" s="42">
        <v>15</v>
      </c>
      <c r="B16" s="51" t="s">
        <v>31</v>
      </c>
      <c r="C16" s="11" t="s">
        <v>19</v>
      </c>
      <c r="D16" s="11" t="s">
        <v>22</v>
      </c>
      <c r="E16" s="13">
        <v>46129</v>
      </c>
      <c r="F16" s="14">
        <v>0.66666666666666663</v>
      </c>
      <c r="G16" s="15" t="s">
        <v>55</v>
      </c>
      <c r="H16" s="35" t="s">
        <v>29</v>
      </c>
      <c r="I16" s="16" t="s">
        <v>32</v>
      </c>
      <c r="J16" s="11">
        <v>4</v>
      </c>
      <c r="K16" s="17"/>
      <c r="L16" s="17">
        <v>300000</v>
      </c>
      <c r="M16" s="22"/>
      <c r="N16" s="22"/>
      <c r="O16" s="19" t="s">
        <v>189</v>
      </c>
      <c r="P16" s="22"/>
      <c r="Q16" s="11" t="s">
        <v>82</v>
      </c>
      <c r="R16" s="11" t="s">
        <v>94</v>
      </c>
      <c r="S16" s="55">
        <v>8397662</v>
      </c>
      <c r="T16" s="35" t="s">
        <v>188</v>
      </c>
      <c r="U16" s="50">
        <v>8598000</v>
      </c>
      <c r="V16" s="11" t="s">
        <v>187</v>
      </c>
      <c r="W16" s="55">
        <v>8633000</v>
      </c>
      <c r="X16" s="12"/>
      <c r="Y16" s="12"/>
      <c r="Z16" s="12"/>
      <c r="AA16" s="56" t="s">
        <v>148</v>
      </c>
      <c r="AB16" s="12"/>
    </row>
    <row r="17" spans="1:28" ht="14.25" customHeight="1" x14ac:dyDescent="0.25">
      <c r="A17" s="42">
        <v>16</v>
      </c>
      <c r="B17" s="12" t="s">
        <v>98</v>
      </c>
      <c r="C17" s="11" t="s">
        <v>19</v>
      </c>
      <c r="D17" s="11" t="s">
        <v>57</v>
      </c>
      <c r="E17" s="13">
        <v>46129</v>
      </c>
      <c r="F17" s="14">
        <v>0.5</v>
      </c>
      <c r="G17" s="15" t="s">
        <v>101</v>
      </c>
      <c r="H17" s="35" t="s">
        <v>100</v>
      </c>
      <c r="I17" s="16" t="s">
        <v>99</v>
      </c>
      <c r="J17" s="11">
        <v>1</v>
      </c>
      <c r="K17" s="22" t="s">
        <v>73</v>
      </c>
      <c r="L17" s="22" t="s">
        <v>73</v>
      </c>
      <c r="M17" s="22" t="s">
        <v>73</v>
      </c>
      <c r="N17" s="22"/>
      <c r="O17" s="22"/>
      <c r="P17" s="22"/>
      <c r="Q17" s="11"/>
      <c r="R17" s="12"/>
      <c r="S17" s="12"/>
      <c r="T17" s="12"/>
      <c r="U17" s="12"/>
      <c r="V17" s="12"/>
      <c r="W17" s="12"/>
      <c r="X17" s="12"/>
      <c r="Y17" s="12"/>
      <c r="Z17" s="12"/>
      <c r="AA17" s="48"/>
      <c r="AB17" s="12"/>
    </row>
    <row r="18" spans="1:28" ht="14.25" customHeight="1" x14ac:dyDescent="0.25">
      <c r="A18" s="42">
        <v>17</v>
      </c>
      <c r="B18" s="12" t="s">
        <v>149</v>
      </c>
      <c r="C18" s="11" t="s">
        <v>152</v>
      </c>
      <c r="D18" s="11" t="s">
        <v>57</v>
      </c>
      <c r="E18" s="13">
        <v>46132</v>
      </c>
      <c r="F18" s="14">
        <v>0.625</v>
      </c>
      <c r="G18" s="15" t="s">
        <v>71</v>
      </c>
      <c r="H18" s="35" t="s">
        <v>153</v>
      </c>
      <c r="I18" s="16" t="s">
        <v>151</v>
      </c>
      <c r="J18" s="11">
        <v>108</v>
      </c>
      <c r="K18" s="22" t="s">
        <v>73</v>
      </c>
      <c r="L18" s="54">
        <v>20000</v>
      </c>
      <c r="M18" s="29">
        <v>0.05</v>
      </c>
      <c r="N18" s="22" t="s">
        <v>150</v>
      </c>
      <c r="O18" s="22"/>
      <c r="P18" s="22"/>
      <c r="Q18" s="11"/>
      <c r="R18" s="12"/>
      <c r="S18" s="12"/>
      <c r="T18" s="12"/>
      <c r="U18" s="12"/>
      <c r="V18" s="12"/>
      <c r="W18" s="12"/>
      <c r="X18" s="12"/>
      <c r="Y18" s="12"/>
      <c r="Z18" s="12"/>
      <c r="AA18" s="48"/>
      <c r="AB18" s="12"/>
    </row>
    <row r="19" spans="1:28" ht="45.75" customHeight="1" x14ac:dyDescent="0.25">
      <c r="A19" s="42">
        <v>18</v>
      </c>
      <c r="B19" s="12" t="s">
        <v>117</v>
      </c>
      <c r="C19" s="11" t="s">
        <v>19</v>
      </c>
      <c r="D19" s="11" t="s">
        <v>22</v>
      </c>
      <c r="E19" s="23">
        <v>46132</v>
      </c>
      <c r="F19" s="14">
        <v>0.83333333333333337</v>
      </c>
      <c r="G19" s="15" t="s">
        <v>101</v>
      </c>
      <c r="H19" s="35" t="s">
        <v>118</v>
      </c>
      <c r="I19" s="16" t="s">
        <v>119</v>
      </c>
      <c r="J19" s="11">
        <v>132</v>
      </c>
      <c r="K19" s="22" t="s">
        <v>73</v>
      </c>
      <c r="L19" s="22">
        <v>140000</v>
      </c>
      <c r="M19" s="22" t="s">
        <v>73</v>
      </c>
      <c r="N19" s="22"/>
      <c r="O19" s="22"/>
      <c r="P19" s="22"/>
      <c r="Q19" s="11"/>
      <c r="R19" s="12"/>
      <c r="S19" s="12"/>
      <c r="T19" s="12"/>
      <c r="U19" s="12"/>
      <c r="V19" s="12"/>
      <c r="W19" s="12"/>
      <c r="X19" s="12"/>
      <c r="Y19" s="12"/>
      <c r="Z19" s="12"/>
      <c r="AA19" s="48"/>
      <c r="AB19" s="12"/>
    </row>
    <row r="20" spans="1:28" x14ac:dyDescent="0.25">
      <c r="A20" s="42">
        <v>19</v>
      </c>
      <c r="B20" t="s">
        <v>143</v>
      </c>
      <c r="C20" s="11" t="s">
        <v>19</v>
      </c>
      <c r="D20" s="11" t="s">
        <v>57</v>
      </c>
      <c r="E20" s="23">
        <v>46134</v>
      </c>
      <c r="F20" s="14">
        <v>0.75</v>
      </c>
      <c r="G20" s="26" t="s">
        <v>71</v>
      </c>
      <c r="H20" s="35" t="s">
        <v>145</v>
      </c>
      <c r="I20" s="12" t="s">
        <v>144</v>
      </c>
      <c r="J20" s="11">
        <v>4</v>
      </c>
      <c r="K20" s="22" t="s">
        <v>73</v>
      </c>
      <c r="L20" s="17"/>
      <c r="M20" s="29"/>
      <c r="N20" s="30"/>
      <c r="O20" s="30"/>
      <c r="P20" s="30"/>
      <c r="Q20" s="11"/>
      <c r="R20" s="12"/>
      <c r="S20" s="12"/>
      <c r="T20" s="12"/>
      <c r="U20" s="12"/>
      <c r="V20" s="12"/>
      <c r="W20" s="12"/>
      <c r="X20" s="12"/>
      <c r="Y20" s="12"/>
      <c r="Z20" s="12"/>
      <c r="AA20" s="16"/>
      <c r="AB20" s="12"/>
    </row>
    <row r="21" spans="1:28" ht="30" x14ac:dyDescent="0.25">
      <c r="A21" s="42">
        <v>20</v>
      </c>
      <c r="B21" s="51" t="s">
        <v>169</v>
      </c>
      <c r="C21" s="11" t="s">
        <v>172</v>
      </c>
      <c r="D21" s="11" t="s">
        <v>173</v>
      </c>
      <c r="E21" s="23">
        <v>46135</v>
      </c>
      <c r="F21" s="14">
        <v>0.625</v>
      </c>
      <c r="G21" s="26" t="s">
        <v>71</v>
      </c>
      <c r="H21" s="35" t="s">
        <v>171</v>
      </c>
      <c r="I21" s="16" t="s">
        <v>170</v>
      </c>
      <c r="J21" s="11"/>
      <c r="K21" s="22"/>
      <c r="L21" s="17">
        <v>22000</v>
      </c>
      <c r="M21" s="29" t="s">
        <v>73</v>
      </c>
      <c r="N21" s="30"/>
      <c r="O21" s="30"/>
      <c r="P21" s="30"/>
      <c r="Q21" s="69" t="s">
        <v>217</v>
      </c>
      <c r="R21" s="12" t="s">
        <v>94</v>
      </c>
      <c r="S21" s="50">
        <v>587543.71</v>
      </c>
      <c r="T21" s="12"/>
      <c r="U21" s="12"/>
      <c r="V21" s="12"/>
      <c r="W21" s="12"/>
      <c r="X21" s="12"/>
      <c r="Y21" s="12"/>
      <c r="Z21" s="12"/>
      <c r="AA21" s="16"/>
      <c r="AB21" s="12"/>
    </row>
    <row r="22" spans="1:28" ht="360" x14ac:dyDescent="0.25">
      <c r="A22" s="42">
        <v>21</v>
      </c>
      <c r="B22" s="68" t="s">
        <v>113</v>
      </c>
      <c r="C22" s="11" t="s">
        <v>19</v>
      </c>
      <c r="D22" s="11" t="s">
        <v>22</v>
      </c>
      <c r="E22" s="23">
        <v>46136</v>
      </c>
      <c r="F22" s="14">
        <v>0.66666666666666663</v>
      </c>
      <c r="G22" s="26" t="s">
        <v>55</v>
      </c>
      <c r="H22" s="35" t="s">
        <v>115</v>
      </c>
      <c r="I22" s="16" t="s">
        <v>114</v>
      </c>
      <c r="J22" s="11">
        <v>28</v>
      </c>
      <c r="K22" s="22" t="s">
        <v>73</v>
      </c>
      <c r="L22" s="17">
        <v>100000</v>
      </c>
      <c r="M22" s="29">
        <v>0.01</v>
      </c>
      <c r="N22" s="22" t="s">
        <v>116</v>
      </c>
      <c r="O22" s="22" t="s">
        <v>133</v>
      </c>
      <c r="P22" s="22"/>
      <c r="Q22" s="11" t="s">
        <v>190</v>
      </c>
      <c r="R22" s="11" t="s">
        <v>94</v>
      </c>
      <c r="S22" s="55">
        <v>2240000</v>
      </c>
      <c r="T22" s="12" t="s">
        <v>95</v>
      </c>
      <c r="U22" s="50">
        <v>2338000</v>
      </c>
      <c r="V22" s="12"/>
      <c r="W22" s="12"/>
      <c r="X22" s="12"/>
      <c r="Y22" s="12"/>
      <c r="Z22" s="50">
        <v>1959860</v>
      </c>
      <c r="AA22" s="48" t="s">
        <v>168</v>
      </c>
      <c r="AB22" s="12"/>
    </row>
    <row r="23" spans="1:28" ht="45.75" customHeight="1" x14ac:dyDescent="0.25">
      <c r="A23" s="42">
        <v>22</v>
      </c>
      <c r="B23" s="51" t="s">
        <v>157</v>
      </c>
      <c r="C23" s="99" t="s">
        <v>68</v>
      </c>
      <c r="D23" s="100"/>
      <c r="E23" s="23">
        <v>46146</v>
      </c>
      <c r="F23" s="14">
        <v>0.70833333333333304</v>
      </c>
      <c r="G23" s="26" t="s">
        <v>55</v>
      </c>
      <c r="H23" s="35" t="s">
        <v>159</v>
      </c>
      <c r="I23" s="16" t="s">
        <v>158</v>
      </c>
      <c r="J23" s="11">
        <v>39</v>
      </c>
      <c r="K23" s="54">
        <v>1000</v>
      </c>
      <c r="L23" s="17">
        <v>76000</v>
      </c>
      <c r="M23" s="29"/>
      <c r="N23" s="22"/>
      <c r="O23" s="22"/>
      <c r="P23" s="22"/>
      <c r="Q23" s="11" t="s">
        <v>82</v>
      </c>
      <c r="R23" s="11" t="s">
        <v>83</v>
      </c>
      <c r="S23" s="12"/>
      <c r="T23" s="11" t="s">
        <v>95</v>
      </c>
      <c r="U23" s="12"/>
      <c r="V23" s="12"/>
      <c r="W23" s="12"/>
      <c r="X23" s="12"/>
      <c r="Y23" s="12"/>
      <c r="Z23" s="12"/>
      <c r="AA23" s="48"/>
      <c r="AB23" s="12"/>
    </row>
    <row r="24" spans="1:28" x14ac:dyDescent="0.25">
      <c r="A24" s="42">
        <v>23</v>
      </c>
      <c r="B24" s="51" t="s">
        <v>59</v>
      </c>
      <c r="C24" s="11" t="s">
        <v>19</v>
      </c>
      <c r="D24" s="11" t="s">
        <v>57</v>
      </c>
      <c r="E24" s="23">
        <v>46148</v>
      </c>
      <c r="F24" s="14">
        <v>0.45833333333333331</v>
      </c>
      <c r="G24" s="26" t="s">
        <v>64</v>
      </c>
      <c r="H24" s="35" t="s">
        <v>67</v>
      </c>
      <c r="I24" s="12" t="s">
        <v>60</v>
      </c>
      <c r="J24" s="11">
        <v>1</v>
      </c>
      <c r="K24" s="22">
        <v>0</v>
      </c>
      <c r="L24" s="17">
        <v>80000</v>
      </c>
      <c r="M24" s="29">
        <v>0.05</v>
      </c>
      <c r="N24" s="22" t="s">
        <v>156</v>
      </c>
      <c r="O24" s="30"/>
      <c r="P24" s="30"/>
      <c r="Q24" s="11" t="s">
        <v>82</v>
      </c>
      <c r="R24" s="11" t="s">
        <v>94</v>
      </c>
      <c r="S24" s="55">
        <v>3432999</v>
      </c>
      <c r="T24" s="12"/>
      <c r="U24" s="12"/>
      <c r="V24" s="12"/>
      <c r="W24" s="12"/>
      <c r="X24" s="12"/>
      <c r="Y24" s="12"/>
      <c r="Z24" s="12"/>
      <c r="AA24" s="16"/>
      <c r="AB24" s="12"/>
    </row>
    <row r="25" spans="1:28" x14ac:dyDescent="0.25">
      <c r="A25" s="42">
        <v>24</v>
      </c>
      <c r="B25" s="12" t="s">
        <v>154</v>
      </c>
      <c r="C25" s="11" t="s">
        <v>88</v>
      </c>
      <c r="D25" s="11" t="s">
        <v>57</v>
      </c>
      <c r="E25" s="23">
        <v>46149</v>
      </c>
      <c r="F25" s="14">
        <v>0.45833333333333331</v>
      </c>
      <c r="G25" s="26" t="s">
        <v>64</v>
      </c>
      <c r="H25" s="35" t="s">
        <v>67</v>
      </c>
      <c r="I25" s="12" t="s">
        <v>155</v>
      </c>
      <c r="J25" s="11">
        <v>1</v>
      </c>
      <c r="K25" s="22" t="s">
        <v>73</v>
      </c>
      <c r="L25" s="17">
        <v>9420000</v>
      </c>
      <c r="M25" s="29">
        <v>0.05</v>
      </c>
      <c r="N25" s="22" t="s">
        <v>156</v>
      </c>
      <c r="O25" s="22"/>
      <c r="P25" s="2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6"/>
      <c r="AB25" s="12"/>
    </row>
    <row r="26" spans="1:28" x14ac:dyDescent="0.25">
      <c r="A26" s="42">
        <v>25</v>
      </c>
      <c r="B26" s="12" t="s">
        <v>177</v>
      </c>
      <c r="C26" s="11" t="s">
        <v>88</v>
      </c>
      <c r="D26" s="11" t="s">
        <v>57</v>
      </c>
      <c r="E26" s="23">
        <v>46154</v>
      </c>
      <c r="F26" s="14">
        <v>0.70833333333333304</v>
      </c>
      <c r="G26" s="26" t="s">
        <v>64</v>
      </c>
      <c r="H26" s="35" t="s">
        <v>178</v>
      </c>
      <c r="I26" s="12" t="s">
        <v>179</v>
      </c>
      <c r="J26" s="11">
        <v>6</v>
      </c>
      <c r="K26" s="22" t="s">
        <v>73</v>
      </c>
      <c r="L26" s="17">
        <v>125000</v>
      </c>
      <c r="M26" s="29" t="s">
        <v>73</v>
      </c>
      <c r="N26" s="22"/>
      <c r="O26" s="22"/>
      <c r="P26" s="2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6"/>
      <c r="AB26" s="12"/>
    </row>
    <row r="27" spans="1:28" x14ac:dyDescent="0.25">
      <c r="A27" s="42">
        <v>26</v>
      </c>
      <c r="B27" s="12" t="s">
        <v>194</v>
      </c>
      <c r="C27" s="99" t="s">
        <v>165</v>
      </c>
      <c r="D27" s="100"/>
      <c r="E27" s="23">
        <v>46154</v>
      </c>
      <c r="F27" s="14">
        <v>0.70833333333333304</v>
      </c>
      <c r="G27" s="26" t="s">
        <v>56</v>
      </c>
      <c r="H27" s="35" t="s">
        <v>195</v>
      </c>
      <c r="I27" s="12" t="s">
        <v>196</v>
      </c>
      <c r="J27" s="11">
        <v>39</v>
      </c>
      <c r="K27" s="22">
        <v>1000</v>
      </c>
      <c r="L27" s="17">
        <v>100000</v>
      </c>
      <c r="M27" s="29" t="s">
        <v>73</v>
      </c>
      <c r="N27" s="22"/>
      <c r="O27" s="22"/>
      <c r="P27" s="2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6"/>
      <c r="AB27" s="12"/>
    </row>
    <row r="28" spans="1:28" ht="45" x14ac:dyDescent="0.25">
      <c r="A28" s="42">
        <v>27</v>
      </c>
      <c r="B28" s="51" t="s">
        <v>201</v>
      </c>
      <c r="C28" s="11" t="s">
        <v>19</v>
      </c>
      <c r="D28" s="49" t="s">
        <v>57</v>
      </c>
      <c r="E28" s="23">
        <v>46156</v>
      </c>
      <c r="F28" s="14">
        <v>0.54166666666666663</v>
      </c>
      <c r="G28" s="26" t="s">
        <v>55</v>
      </c>
      <c r="H28" s="35" t="s">
        <v>202</v>
      </c>
      <c r="I28" s="12" t="s">
        <v>137</v>
      </c>
      <c r="J28" s="11">
        <v>5</v>
      </c>
      <c r="K28" s="22" t="s">
        <v>73</v>
      </c>
      <c r="L28" s="22" t="s">
        <v>73</v>
      </c>
      <c r="M28" s="22" t="s">
        <v>73</v>
      </c>
      <c r="N28" s="22"/>
      <c r="O28" s="22"/>
      <c r="P28" s="22"/>
      <c r="Q28" s="69" t="s">
        <v>217</v>
      </c>
      <c r="R28" s="11" t="s">
        <v>94</v>
      </c>
      <c r="S28" s="50">
        <v>984950</v>
      </c>
      <c r="T28" s="12"/>
      <c r="U28" s="12"/>
      <c r="V28" s="12"/>
      <c r="W28" s="12"/>
      <c r="X28" s="12"/>
      <c r="Y28" s="12"/>
      <c r="Z28" s="12"/>
      <c r="AA28" s="48" t="s">
        <v>207</v>
      </c>
      <c r="AB28" s="12"/>
    </row>
    <row r="29" spans="1:28" ht="45" x14ac:dyDescent="0.25">
      <c r="A29" s="42">
        <v>28</v>
      </c>
      <c r="B29" s="51" t="s">
        <v>203</v>
      </c>
      <c r="C29" s="11" t="s">
        <v>19</v>
      </c>
      <c r="D29" s="49" t="s">
        <v>57</v>
      </c>
      <c r="E29" s="23">
        <v>46156</v>
      </c>
      <c r="F29" s="14">
        <v>0.54166666666666663</v>
      </c>
      <c r="G29" s="26" t="s">
        <v>55</v>
      </c>
      <c r="H29" s="35" t="s">
        <v>202</v>
      </c>
      <c r="I29" s="12" t="s">
        <v>204</v>
      </c>
      <c r="J29" s="11">
        <v>5</v>
      </c>
      <c r="K29" s="22" t="s">
        <v>73</v>
      </c>
      <c r="L29" s="22" t="s">
        <v>73</v>
      </c>
      <c r="M29" s="22" t="s">
        <v>73</v>
      </c>
      <c r="N29" s="22"/>
      <c r="O29" s="22"/>
      <c r="P29" s="22"/>
      <c r="Q29" s="11" t="s">
        <v>82</v>
      </c>
      <c r="R29" s="11" t="s">
        <v>94</v>
      </c>
      <c r="S29" s="50">
        <v>89500</v>
      </c>
      <c r="T29" s="12"/>
      <c r="U29" s="12"/>
      <c r="V29" s="12"/>
      <c r="W29" s="12"/>
      <c r="X29" s="12"/>
      <c r="Y29" s="12"/>
      <c r="Z29" s="12"/>
      <c r="AA29" s="48" t="s">
        <v>208</v>
      </c>
      <c r="AB29" s="12"/>
    </row>
    <row r="30" spans="1:28" ht="45" x14ac:dyDescent="0.25">
      <c r="A30" s="42">
        <v>29</v>
      </c>
      <c r="B30" s="51" t="s">
        <v>205</v>
      </c>
      <c r="C30" s="11" t="s">
        <v>19</v>
      </c>
      <c r="D30" s="49" t="s">
        <v>57</v>
      </c>
      <c r="E30" s="23">
        <v>46157</v>
      </c>
      <c r="F30" s="14">
        <v>0.75</v>
      </c>
      <c r="G30" s="26" t="s">
        <v>55</v>
      </c>
      <c r="H30" s="35" t="s">
        <v>206</v>
      </c>
      <c r="I30" s="12" t="s">
        <v>137</v>
      </c>
      <c r="J30" s="11">
        <v>10</v>
      </c>
      <c r="K30" s="22" t="s">
        <v>73</v>
      </c>
      <c r="L30" s="22" t="s">
        <v>73</v>
      </c>
      <c r="M30" s="22" t="s">
        <v>73</v>
      </c>
      <c r="N30" s="22"/>
      <c r="O30" s="22"/>
      <c r="P30" s="22"/>
      <c r="Q30" s="11" t="s">
        <v>82</v>
      </c>
      <c r="R30" s="11" t="s">
        <v>94</v>
      </c>
      <c r="S30" s="55">
        <v>1849990</v>
      </c>
      <c r="T30" s="12"/>
      <c r="U30" s="12"/>
      <c r="V30" s="12"/>
      <c r="W30" s="12"/>
      <c r="X30" s="12"/>
      <c r="Y30" s="12"/>
      <c r="Z30" s="12"/>
      <c r="AA30" s="48" t="s">
        <v>209</v>
      </c>
      <c r="AB30" s="12"/>
    </row>
    <row r="31" spans="1:28" x14ac:dyDescent="0.25">
      <c r="A31" s="42">
        <v>30</v>
      </c>
      <c r="B31" s="12" t="s">
        <v>222</v>
      </c>
      <c r="C31" s="11" t="s">
        <v>152</v>
      </c>
      <c r="D31" s="11" t="s">
        <v>57</v>
      </c>
      <c r="E31" s="23">
        <v>46157</v>
      </c>
      <c r="F31" s="14">
        <v>0.70833333333333337</v>
      </c>
      <c r="G31" s="26" t="s">
        <v>71</v>
      </c>
      <c r="H31" s="35" t="s">
        <v>224</v>
      </c>
      <c r="I31" s="12" t="s">
        <v>223</v>
      </c>
      <c r="J31" s="11">
        <v>13170</v>
      </c>
      <c r="K31" s="22"/>
      <c r="L31" s="22">
        <v>42500</v>
      </c>
      <c r="M31" s="29">
        <v>0.05</v>
      </c>
      <c r="N31" s="22" t="s">
        <v>84</v>
      </c>
      <c r="O31" s="22"/>
      <c r="P31" s="22"/>
      <c r="Q31" s="11"/>
      <c r="R31" s="11"/>
      <c r="S31" s="55"/>
      <c r="T31" s="12"/>
      <c r="U31" s="12"/>
      <c r="V31" s="12"/>
      <c r="W31" s="12"/>
      <c r="X31" s="12"/>
      <c r="Y31" s="12"/>
      <c r="Z31" s="12"/>
      <c r="AA31" s="48"/>
      <c r="AB31" s="12"/>
    </row>
    <row r="32" spans="1:28" x14ac:dyDescent="0.25">
      <c r="A32" s="42">
        <v>31</v>
      </c>
      <c r="B32" s="12" t="s">
        <v>225</v>
      </c>
      <c r="C32" s="11" t="s">
        <v>88</v>
      </c>
      <c r="D32" s="11" t="s">
        <v>22</v>
      </c>
      <c r="E32" s="23">
        <v>46157</v>
      </c>
      <c r="F32" s="14">
        <v>0.5</v>
      </c>
      <c r="G32" s="26" t="s">
        <v>71</v>
      </c>
      <c r="H32" s="35" t="s">
        <v>227</v>
      </c>
      <c r="I32" s="12" t="s">
        <v>226</v>
      </c>
      <c r="J32" s="11">
        <v>4</v>
      </c>
      <c r="K32" s="22"/>
      <c r="L32" s="55">
        <v>10000</v>
      </c>
      <c r="M32" s="29"/>
      <c r="N32" s="22"/>
      <c r="O32" s="22"/>
      <c r="P32" s="22"/>
      <c r="Q32" s="11"/>
      <c r="R32" s="11"/>
      <c r="S32" s="55"/>
      <c r="T32" s="12"/>
      <c r="U32" s="12"/>
      <c r="V32" s="12"/>
      <c r="W32" s="12"/>
      <c r="X32" s="12"/>
      <c r="Y32" s="12"/>
      <c r="Z32" s="12"/>
      <c r="AA32" s="48"/>
      <c r="AB32" s="12"/>
    </row>
    <row r="33" spans="1:28" x14ac:dyDescent="0.25">
      <c r="A33" s="42">
        <v>32</v>
      </c>
      <c r="B33" s="12" t="s">
        <v>198</v>
      </c>
      <c r="C33" s="11" t="s">
        <v>19</v>
      </c>
      <c r="D33" s="11" t="s">
        <v>22</v>
      </c>
      <c r="E33" s="23">
        <v>46158</v>
      </c>
      <c r="F33" s="14">
        <v>0.45833333333333331</v>
      </c>
      <c r="G33" s="26" t="s">
        <v>101</v>
      </c>
      <c r="H33" s="35" t="s">
        <v>200</v>
      </c>
      <c r="I33" s="12" t="s">
        <v>199</v>
      </c>
      <c r="J33" s="11">
        <v>12</v>
      </c>
      <c r="K33" s="22" t="s">
        <v>73</v>
      </c>
      <c r="L33" s="17">
        <v>28800</v>
      </c>
      <c r="M33" s="29">
        <v>0.05</v>
      </c>
      <c r="N33" s="22"/>
      <c r="O33" s="22"/>
      <c r="P33" s="2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6"/>
      <c r="AB33" s="12"/>
    </row>
    <row r="34" spans="1:28" ht="30" x14ac:dyDescent="0.25">
      <c r="A34" s="42">
        <v>33</v>
      </c>
      <c r="B34" s="12" t="s">
        <v>160</v>
      </c>
      <c r="C34" s="11" t="s">
        <v>19</v>
      </c>
      <c r="D34" s="11" t="s">
        <v>22</v>
      </c>
      <c r="E34" s="23">
        <v>46160</v>
      </c>
      <c r="F34" s="14">
        <v>0.375</v>
      </c>
      <c r="G34" s="26" t="s">
        <v>101</v>
      </c>
      <c r="H34" s="35" t="s">
        <v>162</v>
      </c>
      <c r="I34" s="12" t="s">
        <v>161</v>
      </c>
      <c r="J34" s="11">
        <v>400</v>
      </c>
      <c r="K34" s="17"/>
      <c r="L34" s="17">
        <v>2000000</v>
      </c>
      <c r="M34" s="29">
        <v>0.05</v>
      </c>
      <c r="N34" s="22" t="s">
        <v>163</v>
      </c>
      <c r="O34" s="22"/>
      <c r="P34" s="2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48" t="s">
        <v>197</v>
      </c>
      <c r="AB34" s="12" t="s">
        <v>228</v>
      </c>
    </row>
    <row r="35" spans="1:28" ht="75" x14ac:dyDescent="0.25">
      <c r="A35" s="42">
        <v>34</v>
      </c>
      <c r="B35" s="51" t="s">
        <v>191</v>
      </c>
      <c r="C35" s="11" t="s">
        <v>19</v>
      </c>
      <c r="D35" s="11" t="s">
        <v>22</v>
      </c>
      <c r="E35" s="23">
        <v>46160</v>
      </c>
      <c r="F35" s="14">
        <v>0.66666666666666663</v>
      </c>
      <c r="G35" s="26" t="s">
        <v>56</v>
      </c>
      <c r="H35" s="35" t="s">
        <v>192</v>
      </c>
      <c r="I35" s="12" t="s">
        <v>99</v>
      </c>
      <c r="J35" s="11">
        <v>40</v>
      </c>
      <c r="K35" s="22" t="s">
        <v>73</v>
      </c>
      <c r="L35" s="17">
        <v>360000</v>
      </c>
      <c r="M35" s="29">
        <v>0.02</v>
      </c>
      <c r="N35" s="22" t="s">
        <v>193</v>
      </c>
      <c r="O35" s="22"/>
      <c r="P35" s="22"/>
      <c r="Q35" s="77" t="s">
        <v>309</v>
      </c>
      <c r="R35" s="11" t="s">
        <v>83</v>
      </c>
      <c r="S35" s="50">
        <v>12111080</v>
      </c>
      <c r="T35" s="11" t="s">
        <v>95</v>
      </c>
      <c r="U35" s="50">
        <v>12120000</v>
      </c>
      <c r="V35" s="12"/>
      <c r="W35" s="12"/>
      <c r="X35" s="12"/>
      <c r="Y35" s="12"/>
      <c r="Z35" s="12"/>
      <c r="AA35" s="48" t="s">
        <v>210</v>
      </c>
      <c r="AB35" s="12"/>
    </row>
    <row r="36" spans="1:28" x14ac:dyDescent="0.25">
      <c r="A36" s="42">
        <v>35</v>
      </c>
      <c r="B36" s="51" t="s">
        <v>185</v>
      </c>
      <c r="C36" s="11" t="s">
        <v>88</v>
      </c>
      <c r="D36" s="11" t="s">
        <v>57</v>
      </c>
      <c r="E36" s="23">
        <v>46163</v>
      </c>
      <c r="F36" s="14">
        <v>0.66666666666666663</v>
      </c>
      <c r="G36" s="26" t="s">
        <v>101</v>
      </c>
      <c r="H36" s="35" t="s">
        <v>67</v>
      </c>
      <c r="I36" s="12" t="s">
        <v>186</v>
      </c>
      <c r="J36" s="11">
        <v>1</v>
      </c>
      <c r="K36" s="22" t="s">
        <v>73</v>
      </c>
      <c r="L36" s="22" t="s">
        <v>73</v>
      </c>
      <c r="M36" s="22"/>
      <c r="N36" s="22"/>
      <c r="O36" s="22"/>
      <c r="P36" s="22"/>
      <c r="Q36" s="12"/>
      <c r="R36" s="12"/>
      <c r="S36" s="12"/>
      <c r="T36" s="78"/>
      <c r="U36" s="78"/>
      <c r="V36" s="12"/>
      <c r="W36" s="12"/>
      <c r="X36" s="12"/>
      <c r="Y36" s="12"/>
      <c r="Z36" s="12"/>
      <c r="AA36" s="16"/>
      <c r="AB36" s="12"/>
    </row>
    <row r="37" spans="1:28" ht="45" x14ac:dyDescent="0.25">
      <c r="A37" s="42">
        <v>36</v>
      </c>
      <c r="B37" s="12" t="s">
        <v>232</v>
      </c>
      <c r="C37" s="11" t="s">
        <v>19</v>
      </c>
      <c r="D37" s="11" t="s">
        <v>57</v>
      </c>
      <c r="E37" s="23">
        <v>46164</v>
      </c>
      <c r="F37" s="14">
        <v>0.625</v>
      </c>
      <c r="G37" s="26" t="s">
        <v>71</v>
      </c>
      <c r="H37" s="35" t="s">
        <v>233</v>
      </c>
      <c r="I37" s="12" t="s">
        <v>72</v>
      </c>
      <c r="J37" s="11">
        <v>15</v>
      </c>
      <c r="K37" s="22" t="s">
        <v>73</v>
      </c>
      <c r="L37" s="22">
        <v>26280</v>
      </c>
      <c r="M37" s="22" t="s">
        <v>73</v>
      </c>
      <c r="N37" s="22"/>
      <c r="O37" s="22"/>
      <c r="P37" s="2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48" t="s">
        <v>234</v>
      </c>
      <c r="AB37" s="12"/>
    </row>
    <row r="38" spans="1:28" ht="45" x14ac:dyDescent="0.25">
      <c r="A38" s="42">
        <v>37</v>
      </c>
      <c r="B38" s="12" t="s">
        <v>235</v>
      </c>
      <c r="C38" s="11" t="s">
        <v>19</v>
      </c>
      <c r="D38" s="11" t="s">
        <v>22</v>
      </c>
      <c r="E38" s="23">
        <v>46175</v>
      </c>
      <c r="F38" s="14">
        <v>0.5</v>
      </c>
      <c r="G38" s="26" t="s">
        <v>55</v>
      </c>
      <c r="H38" s="16" t="s">
        <v>236</v>
      </c>
      <c r="I38" s="12" t="s">
        <v>99</v>
      </c>
      <c r="J38" s="11">
        <v>63</v>
      </c>
      <c r="K38" s="17"/>
      <c r="L38" s="17"/>
      <c r="M38" s="29">
        <v>0.05</v>
      </c>
      <c r="N38" s="22" t="s">
        <v>237</v>
      </c>
      <c r="O38" s="22"/>
      <c r="P38" s="2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48" t="s">
        <v>242</v>
      </c>
      <c r="AB38" s="12"/>
    </row>
    <row r="39" spans="1:28" s="1" customFormat="1" ht="75" x14ac:dyDescent="0.25">
      <c r="A39" s="42">
        <v>38</v>
      </c>
      <c r="B39" s="12" t="s">
        <v>275</v>
      </c>
      <c r="C39" s="35" t="s">
        <v>276</v>
      </c>
      <c r="D39" s="11" t="s">
        <v>57</v>
      </c>
      <c r="E39" s="23">
        <v>46176</v>
      </c>
      <c r="F39" s="14">
        <v>0.625</v>
      </c>
      <c r="G39" s="11" t="s">
        <v>71</v>
      </c>
      <c r="H39" s="12" t="s">
        <v>278</v>
      </c>
      <c r="I39" s="27" t="s">
        <v>277</v>
      </c>
      <c r="J39" s="64"/>
      <c r="K39" s="11" t="s">
        <v>73</v>
      </c>
      <c r="L39" s="11">
        <v>7000</v>
      </c>
      <c r="M39" s="11">
        <v>1.25</v>
      </c>
      <c r="N39" s="11" t="s">
        <v>279</v>
      </c>
    </row>
    <row r="40" spans="1:28" ht="105" x14ac:dyDescent="0.25">
      <c r="A40" s="42">
        <v>39</v>
      </c>
      <c r="B40" s="51" t="s">
        <v>253</v>
      </c>
      <c r="C40" s="11" t="s">
        <v>19</v>
      </c>
      <c r="D40" s="11" t="s">
        <v>22</v>
      </c>
      <c r="E40" s="23">
        <v>46177</v>
      </c>
      <c r="F40" s="14">
        <v>0.5</v>
      </c>
      <c r="G40" s="26" t="s">
        <v>101</v>
      </c>
      <c r="H40" s="16" t="s">
        <v>254</v>
      </c>
      <c r="I40" s="16" t="s">
        <v>255</v>
      </c>
      <c r="J40" s="11">
        <v>1</v>
      </c>
      <c r="K40" s="22" t="s">
        <v>73</v>
      </c>
      <c r="L40" s="17">
        <v>20000</v>
      </c>
      <c r="M40" s="29">
        <v>0.05</v>
      </c>
      <c r="N40" s="22" t="s">
        <v>256</v>
      </c>
      <c r="O40" s="22"/>
      <c r="P40" s="22"/>
      <c r="Q40" s="11" t="s">
        <v>82</v>
      </c>
      <c r="R40" s="10" t="s">
        <v>94</v>
      </c>
      <c r="S40" s="50">
        <v>1840990</v>
      </c>
      <c r="T40" s="11" t="s">
        <v>83</v>
      </c>
      <c r="U40" s="50">
        <v>2373777</v>
      </c>
      <c r="V40" s="12"/>
      <c r="W40" s="12"/>
      <c r="X40" s="12"/>
      <c r="Y40" s="12"/>
      <c r="Z40" s="12"/>
      <c r="AA40" s="48" t="s">
        <v>274</v>
      </c>
      <c r="AB40" s="12"/>
    </row>
    <row r="41" spans="1:28" ht="30" x14ac:dyDescent="0.25">
      <c r="A41" s="42">
        <v>40</v>
      </c>
      <c r="B41" s="12" t="s">
        <v>238</v>
      </c>
      <c r="C41" s="11" t="s">
        <v>19</v>
      </c>
      <c r="D41" s="11" t="s">
        <v>22</v>
      </c>
      <c r="E41" s="23">
        <v>46178</v>
      </c>
      <c r="F41" s="14">
        <v>0.79166666666666663</v>
      </c>
      <c r="G41" s="26" t="s">
        <v>56</v>
      </c>
      <c r="H41" s="16" t="s">
        <v>240</v>
      </c>
      <c r="I41" s="16" t="s">
        <v>239</v>
      </c>
      <c r="J41" s="11">
        <v>550</v>
      </c>
      <c r="K41" s="17"/>
      <c r="L41" s="17">
        <v>500000</v>
      </c>
      <c r="M41" s="29">
        <v>0.05</v>
      </c>
      <c r="N41" s="22"/>
      <c r="O41" s="22"/>
      <c r="P41" s="2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6"/>
      <c r="AB41" s="12"/>
    </row>
    <row r="42" spans="1:28" x14ac:dyDescent="0.25">
      <c r="A42" s="42">
        <v>41</v>
      </c>
      <c r="B42" s="51" t="s">
        <v>230</v>
      </c>
      <c r="C42" s="11" t="s">
        <v>19</v>
      </c>
      <c r="D42" s="11" t="s">
        <v>22</v>
      </c>
      <c r="E42" s="23">
        <v>46178</v>
      </c>
      <c r="F42" s="14">
        <v>0.5</v>
      </c>
      <c r="G42" s="26" t="s">
        <v>101</v>
      </c>
      <c r="H42" s="16" t="s">
        <v>200</v>
      </c>
      <c r="I42" s="12" t="s">
        <v>231</v>
      </c>
      <c r="J42" s="11">
        <v>140</v>
      </c>
      <c r="K42" s="22" t="s">
        <v>73</v>
      </c>
      <c r="L42" s="17">
        <v>294000</v>
      </c>
      <c r="M42" s="29">
        <v>0.05</v>
      </c>
      <c r="N42" s="22" t="s">
        <v>163</v>
      </c>
      <c r="O42" s="22"/>
      <c r="P42" s="22"/>
      <c r="Q42" s="11" t="s">
        <v>82</v>
      </c>
      <c r="R42" s="11" t="s">
        <v>94</v>
      </c>
      <c r="S42" s="50">
        <v>2701860</v>
      </c>
      <c r="T42" s="12"/>
      <c r="U42" s="12"/>
      <c r="V42" s="12"/>
      <c r="W42" s="12"/>
      <c r="X42" s="12"/>
      <c r="Y42" s="12"/>
      <c r="Z42" s="12"/>
      <c r="AA42" s="16"/>
      <c r="AB42" s="12"/>
    </row>
    <row r="43" spans="1:28" ht="90" x14ac:dyDescent="0.25">
      <c r="A43" s="42">
        <v>42</v>
      </c>
      <c r="B43" s="12" t="s">
        <v>264</v>
      </c>
      <c r="C43" s="11" t="s">
        <v>19</v>
      </c>
      <c r="D43" s="11" t="s">
        <v>57</v>
      </c>
      <c r="E43" s="23">
        <v>46183</v>
      </c>
      <c r="F43" s="14">
        <v>0.75</v>
      </c>
      <c r="G43" s="26" t="s">
        <v>55</v>
      </c>
      <c r="H43" s="16" t="s">
        <v>265</v>
      </c>
      <c r="I43" s="16" t="s">
        <v>295</v>
      </c>
      <c r="J43" s="11">
        <v>23</v>
      </c>
      <c r="K43" s="22" t="s">
        <v>73</v>
      </c>
      <c r="L43" s="22" t="s">
        <v>73</v>
      </c>
      <c r="M43" s="22" t="s">
        <v>73</v>
      </c>
      <c r="N43" s="22"/>
      <c r="O43" s="22"/>
      <c r="P43" s="2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48" t="s">
        <v>266</v>
      </c>
      <c r="AB43" s="12"/>
    </row>
    <row r="44" spans="1:28" ht="45" x14ac:dyDescent="0.25">
      <c r="A44" s="42">
        <v>43</v>
      </c>
      <c r="B44" s="16" t="s">
        <v>287</v>
      </c>
      <c r="C44" s="98" t="s">
        <v>289</v>
      </c>
      <c r="D44" s="98"/>
      <c r="E44" s="23">
        <v>46183</v>
      </c>
      <c r="F44" s="14">
        <v>0.625</v>
      </c>
      <c r="G44" s="26" t="s">
        <v>56</v>
      </c>
      <c r="H44" s="16" t="s">
        <v>110</v>
      </c>
      <c r="I44" s="12" t="s">
        <v>286</v>
      </c>
      <c r="J44" s="11" t="s">
        <v>290</v>
      </c>
      <c r="K44" s="17">
        <v>11200</v>
      </c>
      <c r="L44" s="17">
        <v>1500000</v>
      </c>
      <c r="M44" s="29">
        <v>0.05</v>
      </c>
      <c r="N44" s="19" t="s">
        <v>291</v>
      </c>
      <c r="O44" s="22"/>
      <c r="P44" s="2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6"/>
      <c r="AB44" s="12"/>
    </row>
    <row r="45" spans="1:28" ht="62.25" customHeight="1" x14ac:dyDescent="0.25">
      <c r="A45" s="42">
        <v>44</v>
      </c>
      <c r="B45" s="12" t="s">
        <v>243</v>
      </c>
      <c r="C45" s="11" t="s">
        <v>152</v>
      </c>
      <c r="D45" s="11" t="s">
        <v>57</v>
      </c>
      <c r="E45" s="23">
        <v>46184</v>
      </c>
      <c r="F45" s="14">
        <v>0.83333333333333304</v>
      </c>
      <c r="G45" s="26" t="s">
        <v>55</v>
      </c>
      <c r="H45" s="87" t="s">
        <v>245</v>
      </c>
      <c r="I45" s="72" t="s">
        <v>244</v>
      </c>
      <c r="J45" s="11">
        <v>30</v>
      </c>
      <c r="K45" s="22" t="s">
        <v>73</v>
      </c>
      <c r="L45" s="17">
        <v>30000</v>
      </c>
      <c r="M45" s="29">
        <v>0.03</v>
      </c>
      <c r="N45" s="22" t="s">
        <v>246</v>
      </c>
      <c r="O45" s="22"/>
      <c r="P45" s="2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6"/>
      <c r="AB45" s="12"/>
    </row>
    <row r="46" spans="1:28" x14ac:dyDescent="0.25">
      <c r="A46" s="42">
        <v>45</v>
      </c>
      <c r="B46" s="51" t="s">
        <v>257</v>
      </c>
      <c r="C46" s="11" t="s">
        <v>88</v>
      </c>
      <c r="D46" s="11" t="s">
        <v>57</v>
      </c>
      <c r="E46" s="23">
        <v>46188</v>
      </c>
      <c r="F46" s="14">
        <v>0.58333333333333337</v>
      </c>
      <c r="G46" s="26" t="s">
        <v>101</v>
      </c>
      <c r="H46" s="16" t="s">
        <v>227</v>
      </c>
      <c r="I46" s="12" t="s">
        <v>258</v>
      </c>
      <c r="J46" s="11">
        <v>1</v>
      </c>
      <c r="K46" s="22" t="s">
        <v>73</v>
      </c>
      <c r="L46" s="22" t="s">
        <v>73</v>
      </c>
      <c r="M46" s="22" t="s">
        <v>73</v>
      </c>
      <c r="N46" s="22"/>
      <c r="O46" s="22"/>
      <c r="P46" s="22"/>
      <c r="Q46" s="69" t="s">
        <v>217</v>
      </c>
      <c r="R46" s="11" t="s">
        <v>314</v>
      </c>
      <c r="S46" s="50">
        <v>164911</v>
      </c>
      <c r="T46" s="12"/>
      <c r="U46" s="12"/>
      <c r="V46" s="12"/>
      <c r="W46" s="12"/>
      <c r="X46" s="12"/>
      <c r="Y46" s="12"/>
      <c r="Z46" s="12"/>
      <c r="AA46" s="16"/>
      <c r="AB46" s="12"/>
    </row>
    <row r="47" spans="1:28" ht="15.75" customHeight="1" x14ac:dyDescent="0.25">
      <c r="A47" s="42">
        <v>46</v>
      </c>
      <c r="B47" s="51">
        <v>1230000198</v>
      </c>
      <c r="C47" s="99" t="s">
        <v>296</v>
      </c>
      <c r="D47" s="100"/>
      <c r="E47" s="13">
        <f>$E$46</f>
        <v>46188</v>
      </c>
      <c r="F47" s="14">
        <v>0.58333333333333337</v>
      </c>
      <c r="G47" s="26" t="s">
        <v>101</v>
      </c>
      <c r="H47" s="16" t="s">
        <v>36</v>
      </c>
      <c r="I47" s="12" t="s">
        <v>297</v>
      </c>
      <c r="J47" s="11">
        <v>2</v>
      </c>
      <c r="K47" s="54">
        <v>1479</v>
      </c>
      <c r="L47" s="22">
        <v>84000</v>
      </c>
      <c r="M47" s="29"/>
      <c r="N47" s="22"/>
      <c r="O47" s="22" t="s">
        <v>313</v>
      </c>
      <c r="P47" s="22"/>
      <c r="Q47" s="11" t="s">
        <v>82</v>
      </c>
      <c r="R47" s="11" t="s">
        <v>314</v>
      </c>
      <c r="S47" s="55">
        <v>6539650.8600000003</v>
      </c>
      <c r="T47" s="11" t="s">
        <v>315</v>
      </c>
      <c r="U47" s="50">
        <v>6560890</v>
      </c>
      <c r="V47" s="12"/>
      <c r="W47" s="12"/>
      <c r="X47" s="12"/>
      <c r="Y47" s="12"/>
      <c r="Z47" s="12"/>
      <c r="AA47" s="16"/>
      <c r="AB47" s="12"/>
    </row>
    <row r="48" spans="1:28" x14ac:dyDescent="0.25">
      <c r="A48" s="42">
        <v>47</v>
      </c>
      <c r="B48" s="68" t="s">
        <v>267</v>
      </c>
      <c r="C48" s="11" t="s">
        <v>88</v>
      </c>
      <c r="D48" s="11" t="s">
        <v>22</v>
      </c>
      <c r="E48" s="13">
        <v>46192</v>
      </c>
      <c r="F48" s="14">
        <v>0.70833333333333337</v>
      </c>
      <c r="G48" s="26" t="s">
        <v>101</v>
      </c>
      <c r="H48" s="16" t="s">
        <v>200</v>
      </c>
      <c r="I48" s="12" t="s">
        <v>268</v>
      </c>
      <c r="J48" s="11">
        <v>2</v>
      </c>
      <c r="K48" s="22" t="s">
        <v>73</v>
      </c>
      <c r="L48" s="22" t="s">
        <v>73</v>
      </c>
      <c r="M48" s="22" t="s">
        <v>73</v>
      </c>
      <c r="N48" s="22"/>
      <c r="O48" s="22"/>
      <c r="P48" s="22"/>
      <c r="Q48" s="11" t="s">
        <v>190</v>
      </c>
      <c r="R48" s="11" t="s">
        <v>83</v>
      </c>
      <c r="S48" s="50">
        <v>974288</v>
      </c>
      <c r="T48" s="11" t="s">
        <v>315</v>
      </c>
      <c r="U48" s="50">
        <v>976400</v>
      </c>
      <c r="V48" s="11" t="s">
        <v>316</v>
      </c>
      <c r="W48" s="12"/>
      <c r="X48" s="12"/>
      <c r="Y48" s="12"/>
      <c r="Z48" s="50">
        <v>860000</v>
      </c>
      <c r="AA48" s="16"/>
      <c r="AB48" s="12"/>
    </row>
    <row r="49" spans="1:28" x14ac:dyDescent="0.25">
      <c r="A49" s="42">
        <v>48</v>
      </c>
      <c r="B49" s="68" t="s">
        <v>269</v>
      </c>
      <c r="C49" s="11" t="s">
        <v>88</v>
      </c>
      <c r="D49" s="11" t="s">
        <v>22</v>
      </c>
      <c r="E49" s="13">
        <v>46192</v>
      </c>
      <c r="F49" s="14">
        <v>0.70833333333333337</v>
      </c>
      <c r="G49" s="26" t="s">
        <v>101</v>
      </c>
      <c r="H49" s="16" t="s">
        <v>200</v>
      </c>
      <c r="I49" s="12" t="s">
        <v>270</v>
      </c>
      <c r="J49" s="11">
        <v>3</v>
      </c>
      <c r="K49" s="22" t="s">
        <v>73</v>
      </c>
      <c r="L49" s="22" t="s">
        <v>73</v>
      </c>
      <c r="M49" s="22" t="s">
        <v>73</v>
      </c>
      <c r="N49" s="22"/>
      <c r="O49" s="22"/>
      <c r="P49" s="22"/>
      <c r="Q49" s="11" t="s">
        <v>190</v>
      </c>
      <c r="R49" s="11" t="s">
        <v>83</v>
      </c>
      <c r="S49" s="50">
        <v>416331</v>
      </c>
      <c r="T49" s="11" t="s">
        <v>315</v>
      </c>
      <c r="U49" s="50">
        <v>414570</v>
      </c>
      <c r="V49" s="11" t="s">
        <v>316</v>
      </c>
      <c r="W49" s="50">
        <v>415200</v>
      </c>
      <c r="X49" s="12"/>
      <c r="Y49" s="12"/>
      <c r="Z49" s="50">
        <v>361398</v>
      </c>
      <c r="AA49" s="16"/>
      <c r="AB49" s="12"/>
    </row>
    <row r="50" spans="1:28" x14ac:dyDescent="0.25">
      <c r="A50" s="42">
        <v>49</v>
      </c>
      <c r="B50" s="51" t="s">
        <v>306</v>
      </c>
      <c r="C50" s="99" t="s">
        <v>307</v>
      </c>
      <c r="D50" s="100"/>
      <c r="E50" s="13">
        <v>46193</v>
      </c>
      <c r="F50" s="14">
        <v>0.625</v>
      </c>
      <c r="G50" s="26" t="s">
        <v>101</v>
      </c>
      <c r="H50" s="16" t="s">
        <v>305</v>
      </c>
      <c r="I50" s="12" t="s">
        <v>308</v>
      </c>
      <c r="J50" s="11"/>
      <c r="K50" s="22">
        <v>1000</v>
      </c>
      <c r="L50" s="22"/>
      <c r="M50" s="22"/>
      <c r="N50" s="22"/>
      <c r="O50" s="22" t="s">
        <v>313</v>
      </c>
      <c r="P50" s="22"/>
      <c r="Q50" s="11" t="s">
        <v>82</v>
      </c>
      <c r="R50" s="11" t="s">
        <v>94</v>
      </c>
      <c r="S50" s="79">
        <v>17986032</v>
      </c>
      <c r="T50" s="12"/>
      <c r="U50" s="12"/>
      <c r="V50" s="12"/>
      <c r="W50" s="12"/>
      <c r="X50" s="12"/>
      <c r="Y50" s="12"/>
      <c r="Z50" s="12"/>
      <c r="AA50" s="16"/>
      <c r="AB50" s="12"/>
    </row>
    <row r="51" spans="1:28" x14ac:dyDescent="0.25">
      <c r="A51" s="42">
        <v>50</v>
      </c>
      <c r="B51" s="12" t="s">
        <v>292</v>
      </c>
      <c r="C51" s="11" t="s">
        <v>19</v>
      </c>
      <c r="D51" s="11" t="s">
        <v>22</v>
      </c>
      <c r="E51" s="13">
        <v>46195</v>
      </c>
      <c r="F51" s="14">
        <v>0.75</v>
      </c>
      <c r="G51" s="26" t="s">
        <v>55</v>
      </c>
      <c r="H51" s="16" t="s">
        <v>293</v>
      </c>
      <c r="I51" s="12" t="s">
        <v>199</v>
      </c>
      <c r="J51" s="11">
        <v>160</v>
      </c>
      <c r="K51" s="22"/>
      <c r="L51" s="54">
        <v>484000</v>
      </c>
      <c r="M51" s="29">
        <v>0.05</v>
      </c>
      <c r="N51" s="22" t="s">
        <v>294</v>
      </c>
      <c r="O51" s="22"/>
      <c r="P51" s="2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6"/>
      <c r="AB51" s="12"/>
    </row>
    <row r="52" spans="1:28" ht="30" x14ac:dyDescent="0.25">
      <c r="A52" s="42">
        <v>51</v>
      </c>
      <c r="B52" s="12" t="s">
        <v>300</v>
      </c>
      <c r="C52" s="11" t="s">
        <v>303</v>
      </c>
      <c r="D52" s="11" t="s">
        <v>22</v>
      </c>
      <c r="E52" s="13">
        <v>46196</v>
      </c>
      <c r="F52" s="14">
        <v>0.625</v>
      </c>
      <c r="G52" s="26" t="s">
        <v>56</v>
      </c>
      <c r="H52" s="16" t="s">
        <v>301</v>
      </c>
      <c r="I52" s="16" t="s">
        <v>304</v>
      </c>
      <c r="J52" s="11">
        <v>37</v>
      </c>
      <c r="K52" s="22"/>
      <c r="L52" s="54">
        <v>5440000</v>
      </c>
      <c r="M52" s="29">
        <v>0.05</v>
      </c>
      <c r="N52" s="22" t="s">
        <v>302</v>
      </c>
      <c r="O52" s="22"/>
      <c r="P52" s="2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6"/>
      <c r="AB52" s="12"/>
    </row>
    <row r="53" spans="1:28" x14ac:dyDescent="0.25">
      <c r="A53" s="42">
        <v>52</v>
      </c>
      <c r="B53" s="51" t="s">
        <v>310</v>
      </c>
      <c r="C53" s="11" t="s">
        <v>88</v>
      </c>
      <c r="D53" s="11" t="s">
        <v>22</v>
      </c>
      <c r="E53" s="13">
        <v>46199</v>
      </c>
      <c r="F53" s="14">
        <v>0.79166666666666663</v>
      </c>
      <c r="G53" s="26" t="s">
        <v>101</v>
      </c>
      <c r="H53" s="16" t="s">
        <v>200</v>
      </c>
      <c r="I53" s="16" t="s">
        <v>311</v>
      </c>
      <c r="J53" s="11">
        <v>1</v>
      </c>
      <c r="K53" s="22" t="s">
        <v>73</v>
      </c>
      <c r="L53" s="54">
        <v>105000</v>
      </c>
      <c r="M53" s="29">
        <v>0.05</v>
      </c>
      <c r="N53" s="22" t="s">
        <v>312</v>
      </c>
      <c r="O53" s="22"/>
      <c r="P53" s="22"/>
      <c r="Q53" s="11" t="s">
        <v>82</v>
      </c>
      <c r="R53" s="11" t="s">
        <v>349</v>
      </c>
      <c r="S53" s="55">
        <v>3419699</v>
      </c>
      <c r="U53" s="12"/>
      <c r="V53" s="12"/>
      <c r="W53" s="12"/>
      <c r="X53" s="12"/>
      <c r="Y53" s="12"/>
      <c r="Z53" s="12"/>
      <c r="AA53" s="16"/>
      <c r="AB53" s="12"/>
    </row>
    <row r="54" spans="1:28" x14ac:dyDescent="0.25">
      <c r="A54" s="42">
        <v>53</v>
      </c>
      <c r="B54" s="12" t="s">
        <v>342</v>
      </c>
      <c r="C54" s="99" t="s">
        <v>165</v>
      </c>
      <c r="D54" s="100"/>
      <c r="E54" s="13">
        <v>46202</v>
      </c>
      <c r="F54" s="14">
        <v>0.58333333333333337</v>
      </c>
      <c r="G54" s="26" t="s">
        <v>56</v>
      </c>
      <c r="H54" s="16" t="s">
        <v>343</v>
      </c>
      <c r="I54" s="16" t="s">
        <v>223</v>
      </c>
      <c r="J54" s="11" t="s">
        <v>320</v>
      </c>
      <c r="K54" s="22">
        <v>7000</v>
      </c>
      <c r="L54" s="54">
        <v>70000</v>
      </c>
      <c r="M54" s="29">
        <v>0.1</v>
      </c>
      <c r="N54" s="22" t="s">
        <v>344</v>
      </c>
      <c r="O54" s="22"/>
      <c r="P54" s="2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6"/>
      <c r="AB54" s="12"/>
    </row>
    <row r="55" spans="1:28" x14ac:dyDescent="0.25">
      <c r="A55" s="42">
        <v>54</v>
      </c>
      <c r="B55" s="51" t="s">
        <v>345</v>
      </c>
      <c r="C55" s="11" t="s">
        <v>19</v>
      </c>
      <c r="D55" s="11" t="s">
        <v>57</v>
      </c>
      <c r="E55" s="13">
        <v>46202</v>
      </c>
      <c r="F55" s="14">
        <v>0.54166666666666663</v>
      </c>
      <c r="G55" s="26" t="s">
        <v>101</v>
      </c>
      <c r="H55" s="16" t="s">
        <v>200</v>
      </c>
      <c r="I55" s="16" t="s">
        <v>231</v>
      </c>
      <c r="J55" s="11">
        <v>200</v>
      </c>
      <c r="K55" s="10" t="s">
        <v>73</v>
      </c>
      <c r="L55" s="22">
        <v>62100</v>
      </c>
      <c r="M55" s="29">
        <v>0.05</v>
      </c>
      <c r="N55" s="22" t="s">
        <v>312</v>
      </c>
      <c r="O55" s="22"/>
      <c r="P55" s="22"/>
      <c r="Q55" s="11" t="s">
        <v>82</v>
      </c>
      <c r="R55" s="11" t="s">
        <v>94</v>
      </c>
      <c r="S55" s="50">
        <v>2234600</v>
      </c>
      <c r="T55" s="11" t="s">
        <v>349</v>
      </c>
      <c r="U55" s="50">
        <v>2301600</v>
      </c>
      <c r="V55" s="12"/>
      <c r="W55" s="12"/>
      <c r="X55" s="12"/>
      <c r="Y55" s="12"/>
      <c r="Z55" s="12"/>
      <c r="AA55" s="16"/>
      <c r="AB55" s="12"/>
    </row>
    <row r="56" spans="1:28" ht="75" x14ac:dyDescent="0.25">
      <c r="A56" s="42">
        <v>55</v>
      </c>
      <c r="B56" s="16" t="s">
        <v>283</v>
      </c>
      <c r="C56" s="98" t="s">
        <v>288</v>
      </c>
      <c r="D56" s="98"/>
      <c r="E56" s="13">
        <v>46203</v>
      </c>
      <c r="F56" s="14">
        <v>0.70833333333333337</v>
      </c>
      <c r="G56" s="26" t="s">
        <v>282</v>
      </c>
      <c r="H56" s="16" t="s">
        <v>280</v>
      </c>
      <c r="I56" s="12" t="s">
        <v>281</v>
      </c>
      <c r="J56" s="11">
        <v>2313</v>
      </c>
      <c r="K56" s="22">
        <v>11800</v>
      </c>
      <c r="L56" s="17">
        <v>5000000</v>
      </c>
      <c r="M56" s="29">
        <v>0.05</v>
      </c>
      <c r="N56" s="19" t="s">
        <v>285</v>
      </c>
      <c r="O56" s="19" t="s">
        <v>284</v>
      </c>
      <c r="P56" s="2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6"/>
      <c r="AB56" s="12"/>
    </row>
    <row r="57" spans="1:28" ht="225" x14ac:dyDescent="0.25">
      <c r="A57" s="42">
        <v>56</v>
      </c>
      <c r="B57" s="51" t="s">
        <v>326</v>
      </c>
      <c r="C57" s="11" t="s">
        <v>19</v>
      </c>
      <c r="D57" s="11" t="s">
        <v>57</v>
      </c>
      <c r="E57" s="23">
        <v>46205</v>
      </c>
      <c r="F57" s="14">
        <v>0.75</v>
      </c>
      <c r="G57" s="26" t="s">
        <v>55</v>
      </c>
      <c r="H57" s="16" t="s">
        <v>327</v>
      </c>
      <c r="I57" s="16" t="s">
        <v>119</v>
      </c>
      <c r="J57" s="11">
        <v>44</v>
      </c>
      <c r="K57" s="22" t="s">
        <v>73</v>
      </c>
      <c r="L57" s="22">
        <v>19800</v>
      </c>
      <c r="M57" s="29">
        <v>0.03</v>
      </c>
      <c r="N57" s="19" t="s">
        <v>294</v>
      </c>
      <c r="O57" s="22" t="s">
        <v>354</v>
      </c>
      <c r="P57" s="22"/>
      <c r="Q57" s="11" t="s">
        <v>82</v>
      </c>
      <c r="R57" s="11" t="s">
        <v>94</v>
      </c>
      <c r="S57" s="50">
        <v>3410300</v>
      </c>
      <c r="T57" s="12"/>
      <c r="U57" s="12"/>
      <c r="V57" s="12"/>
      <c r="W57" s="12"/>
      <c r="X57" s="12"/>
      <c r="Y57" s="12"/>
      <c r="Z57" s="12"/>
      <c r="AA57" s="48" t="s">
        <v>353</v>
      </c>
      <c r="AB57" s="12"/>
    </row>
    <row r="58" spans="1:28" x14ac:dyDescent="0.25">
      <c r="A58" s="42">
        <v>57</v>
      </c>
      <c r="B58" s="16" t="s">
        <v>323</v>
      </c>
      <c r="C58" s="11" t="s">
        <v>88</v>
      </c>
      <c r="D58" s="11" t="s">
        <v>57</v>
      </c>
      <c r="E58" s="13">
        <v>46209</v>
      </c>
      <c r="F58" s="14">
        <v>0.5</v>
      </c>
      <c r="G58" s="26" t="s">
        <v>101</v>
      </c>
      <c r="H58" s="16" t="s">
        <v>325</v>
      </c>
      <c r="I58" s="12" t="s">
        <v>324</v>
      </c>
      <c r="J58" s="11">
        <v>1</v>
      </c>
      <c r="K58" s="22" t="s">
        <v>73</v>
      </c>
      <c r="L58" s="22" t="s">
        <v>73</v>
      </c>
      <c r="M58" s="29" t="s">
        <v>73</v>
      </c>
      <c r="N58" s="19"/>
      <c r="O58" s="19"/>
      <c r="P58" s="2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6"/>
      <c r="AB58" s="12"/>
    </row>
    <row r="59" spans="1:28" x14ac:dyDescent="0.25">
      <c r="A59" s="42">
        <v>58</v>
      </c>
      <c r="B59" s="68" t="s">
        <v>346</v>
      </c>
      <c r="C59" s="11" t="s">
        <v>339</v>
      </c>
      <c r="D59" s="11" t="s">
        <v>57</v>
      </c>
      <c r="E59" s="13">
        <v>46209</v>
      </c>
      <c r="F59" s="14">
        <v>0.625</v>
      </c>
      <c r="G59" s="26" t="s">
        <v>64</v>
      </c>
      <c r="H59" s="16" t="s">
        <v>348</v>
      </c>
      <c r="I59" s="12" t="s">
        <v>347</v>
      </c>
      <c r="J59" s="11">
        <v>1</v>
      </c>
      <c r="K59" s="22" t="s">
        <v>73</v>
      </c>
      <c r="L59" s="22">
        <v>40000</v>
      </c>
      <c r="M59" s="29">
        <v>0.05</v>
      </c>
      <c r="N59" s="19" t="s">
        <v>84</v>
      </c>
      <c r="O59" s="19"/>
      <c r="P59" s="22"/>
      <c r="Q59" s="11" t="s">
        <v>366</v>
      </c>
      <c r="R59" s="11" t="s">
        <v>349</v>
      </c>
      <c r="S59" s="55">
        <v>956837</v>
      </c>
      <c r="T59" s="11" t="s">
        <v>94</v>
      </c>
      <c r="U59" s="55">
        <v>985541</v>
      </c>
      <c r="V59" s="11" t="s">
        <v>360</v>
      </c>
      <c r="W59" s="55">
        <v>995110</v>
      </c>
      <c r="X59" s="12"/>
      <c r="Y59" s="12"/>
      <c r="Z59" s="55">
        <v>956837</v>
      </c>
      <c r="AA59" s="16"/>
      <c r="AB59" s="12"/>
    </row>
    <row r="60" spans="1:28" ht="75" x14ac:dyDescent="0.25">
      <c r="A60" s="42">
        <v>59</v>
      </c>
      <c r="B60" s="16" t="s">
        <v>335</v>
      </c>
      <c r="C60" s="98" t="s">
        <v>288</v>
      </c>
      <c r="D60" s="98"/>
      <c r="E60" s="13">
        <v>46211</v>
      </c>
      <c r="F60" s="14">
        <v>0.58333333333333337</v>
      </c>
      <c r="G60" s="26" t="s">
        <v>282</v>
      </c>
      <c r="H60" s="16" t="s">
        <v>334</v>
      </c>
      <c r="I60" s="16" t="s">
        <v>336</v>
      </c>
      <c r="J60" s="11"/>
      <c r="K60" s="22">
        <v>5000</v>
      </c>
      <c r="L60" s="22">
        <v>200000</v>
      </c>
      <c r="M60" s="29">
        <v>0.05</v>
      </c>
      <c r="N60" s="19" t="s">
        <v>337</v>
      </c>
      <c r="O60" s="19"/>
      <c r="P60" s="22"/>
      <c r="Q60" s="16" t="s">
        <v>361</v>
      </c>
      <c r="R60" s="12"/>
      <c r="S60" s="12"/>
      <c r="T60" s="12"/>
      <c r="U60" s="12"/>
      <c r="V60" s="12"/>
      <c r="W60" s="12"/>
      <c r="X60" s="12"/>
      <c r="Y60" s="12"/>
      <c r="Z60" s="12"/>
      <c r="AA60" s="16"/>
      <c r="AB60" s="12"/>
    </row>
    <row r="61" spans="1:28" x14ac:dyDescent="0.25">
      <c r="A61" s="42">
        <v>60</v>
      </c>
      <c r="B61" s="16" t="s">
        <v>338</v>
      </c>
      <c r="C61" s="11" t="s">
        <v>339</v>
      </c>
      <c r="D61" s="11" t="s">
        <v>173</v>
      </c>
      <c r="E61" s="13">
        <v>46212</v>
      </c>
      <c r="F61" s="14">
        <v>0.5</v>
      </c>
      <c r="G61" s="26" t="s">
        <v>101</v>
      </c>
      <c r="H61" s="16" t="s">
        <v>325</v>
      </c>
      <c r="I61" s="16" t="s">
        <v>161</v>
      </c>
      <c r="J61" s="11">
        <v>2</v>
      </c>
      <c r="K61" s="22"/>
      <c r="L61" s="22"/>
      <c r="M61" s="29"/>
      <c r="N61" s="19"/>
      <c r="O61" s="19"/>
      <c r="P61" s="2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6"/>
      <c r="AB61" s="12"/>
    </row>
    <row r="62" spans="1:28" ht="30" x14ac:dyDescent="0.25">
      <c r="A62" s="42">
        <v>61</v>
      </c>
      <c r="B62" s="51" t="s">
        <v>331</v>
      </c>
      <c r="C62" s="98" t="s">
        <v>289</v>
      </c>
      <c r="D62" s="98"/>
      <c r="E62" s="13">
        <v>46216</v>
      </c>
      <c r="F62" s="14">
        <v>0.58333333333333337</v>
      </c>
      <c r="G62" s="26" t="s">
        <v>56</v>
      </c>
      <c r="H62" s="16" t="s">
        <v>301</v>
      </c>
      <c r="I62" s="16" t="s">
        <v>332</v>
      </c>
      <c r="J62" s="11">
        <v>1</v>
      </c>
      <c r="K62" s="54">
        <v>2950</v>
      </c>
      <c r="L62" s="54">
        <v>50000</v>
      </c>
      <c r="M62" s="29"/>
      <c r="N62" s="19"/>
      <c r="O62" s="19"/>
      <c r="P62" s="22"/>
      <c r="Q62" s="11" t="s">
        <v>82</v>
      </c>
      <c r="R62" s="11" t="s">
        <v>94</v>
      </c>
      <c r="S62" s="12"/>
      <c r="T62" s="11" t="s">
        <v>83</v>
      </c>
      <c r="U62" s="12"/>
      <c r="V62" s="11" t="s">
        <v>95</v>
      </c>
      <c r="W62" s="12"/>
      <c r="X62" s="12"/>
      <c r="Y62" s="12"/>
      <c r="Z62" s="12"/>
      <c r="AA62" s="16"/>
      <c r="AB62" s="12"/>
    </row>
    <row r="63" spans="1:28" ht="45" x14ac:dyDescent="0.25">
      <c r="A63" s="42">
        <v>62</v>
      </c>
      <c r="B63" s="51" t="s">
        <v>218</v>
      </c>
      <c r="C63" s="98" t="s">
        <v>219</v>
      </c>
      <c r="D63" s="98"/>
      <c r="E63" s="23">
        <v>46225</v>
      </c>
      <c r="F63" s="14">
        <v>0.625</v>
      </c>
      <c r="G63" s="26" t="s">
        <v>101</v>
      </c>
      <c r="H63" s="16" t="s">
        <v>100</v>
      </c>
      <c r="I63" s="16" t="s">
        <v>220</v>
      </c>
      <c r="J63" s="11">
        <v>2</v>
      </c>
      <c r="K63" s="17">
        <v>1180</v>
      </c>
      <c r="L63" s="17">
        <v>162756</v>
      </c>
      <c r="M63" s="29">
        <v>0.05</v>
      </c>
      <c r="N63" s="19" t="s">
        <v>221</v>
      </c>
      <c r="O63" s="22"/>
      <c r="P63" s="22"/>
      <c r="Q63" s="11" t="s">
        <v>82</v>
      </c>
      <c r="R63" s="11" t="s">
        <v>314</v>
      </c>
      <c r="S63" s="50">
        <v>12755554.560000001</v>
      </c>
      <c r="T63" s="11" t="s">
        <v>388</v>
      </c>
      <c r="U63" s="50">
        <v>13550999.640000001</v>
      </c>
      <c r="V63" s="11" t="s">
        <v>389</v>
      </c>
      <c r="W63" s="50">
        <v>13781401.720000001</v>
      </c>
      <c r="X63" s="12"/>
      <c r="Y63" s="12"/>
      <c r="Z63" s="12"/>
      <c r="AA63" s="16"/>
      <c r="AB63" s="12"/>
    </row>
    <row r="64" spans="1:28" x14ac:dyDescent="0.25">
      <c r="A64" s="42">
        <v>63</v>
      </c>
      <c r="B64" s="12" t="s">
        <v>369</v>
      </c>
      <c r="C64" s="11" t="s">
        <v>19</v>
      </c>
      <c r="D64" s="11" t="s">
        <v>173</v>
      </c>
      <c r="E64" s="23">
        <v>46226</v>
      </c>
      <c r="F64" s="14">
        <v>0.75</v>
      </c>
      <c r="G64" s="26"/>
      <c r="H64" s="16" t="s">
        <v>370</v>
      </c>
      <c r="I64" s="16" t="s">
        <v>199</v>
      </c>
      <c r="J64" s="11">
        <v>45</v>
      </c>
      <c r="K64" s="17" t="s">
        <v>73</v>
      </c>
      <c r="L64" s="17">
        <v>50000</v>
      </c>
      <c r="M64" s="29">
        <v>0.03</v>
      </c>
      <c r="N64" s="19" t="s">
        <v>371</v>
      </c>
      <c r="O64" s="22"/>
      <c r="P64" s="2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6"/>
      <c r="AB64" s="12"/>
    </row>
    <row r="65" spans="1:28" x14ac:dyDescent="0.25">
      <c r="A65" s="42">
        <v>64</v>
      </c>
      <c r="B65" s="51" t="s">
        <v>357</v>
      </c>
      <c r="C65" s="11" t="s">
        <v>152</v>
      </c>
      <c r="D65" s="11" t="s">
        <v>173</v>
      </c>
      <c r="E65" s="23">
        <v>46228</v>
      </c>
      <c r="F65" s="14">
        <v>0.41666666666666669</v>
      </c>
      <c r="G65" s="26" t="s">
        <v>56</v>
      </c>
      <c r="H65" s="16" t="s">
        <v>358</v>
      </c>
      <c r="I65" s="12" t="s">
        <v>359</v>
      </c>
      <c r="J65" s="11">
        <v>8</v>
      </c>
      <c r="K65" s="17"/>
      <c r="L65" s="17"/>
      <c r="M65" s="29">
        <v>0.05</v>
      </c>
      <c r="N65" s="22"/>
      <c r="O65" s="22"/>
      <c r="P65" s="22"/>
      <c r="Q65" s="11" t="s">
        <v>82</v>
      </c>
      <c r="R65" s="11" t="s">
        <v>94</v>
      </c>
      <c r="S65" s="50">
        <v>1097340</v>
      </c>
      <c r="T65" s="11" t="s">
        <v>349</v>
      </c>
      <c r="U65" s="50">
        <v>1130536</v>
      </c>
      <c r="V65" s="12"/>
      <c r="W65" s="12"/>
      <c r="X65" s="12"/>
      <c r="Y65" s="12"/>
      <c r="Z65" s="12"/>
      <c r="AA65" s="16"/>
      <c r="AB65" s="12"/>
    </row>
    <row r="66" spans="1:28" x14ac:dyDescent="0.25">
      <c r="A66" s="42">
        <v>65</v>
      </c>
      <c r="B66" s="51" t="s">
        <v>364</v>
      </c>
      <c r="C66" s="11" t="s">
        <v>88</v>
      </c>
      <c r="D66" s="11" t="s">
        <v>22</v>
      </c>
      <c r="E66" s="23">
        <v>46232</v>
      </c>
      <c r="F66" s="14">
        <v>0.75</v>
      </c>
      <c r="G66" s="26" t="s">
        <v>101</v>
      </c>
      <c r="H66" s="16" t="s">
        <v>200</v>
      </c>
      <c r="I66" s="12" t="s">
        <v>268</v>
      </c>
      <c r="J66" s="11">
        <v>1</v>
      </c>
      <c r="K66" s="17"/>
      <c r="L66" s="17"/>
      <c r="M66" s="29">
        <v>0.05</v>
      </c>
      <c r="N66" s="22" t="s">
        <v>365</v>
      </c>
      <c r="O66" s="22"/>
      <c r="P66" s="22"/>
      <c r="Q66" s="11" t="s">
        <v>82</v>
      </c>
      <c r="R66" s="11" t="s">
        <v>94</v>
      </c>
      <c r="S66" s="50">
        <v>2109999</v>
      </c>
      <c r="T66" s="12"/>
      <c r="U66" s="12"/>
      <c r="V66" s="12"/>
      <c r="W66" s="12"/>
      <c r="X66" s="12"/>
      <c r="Y66" s="12"/>
      <c r="Z66" s="12"/>
      <c r="AA66" s="16"/>
      <c r="AB66" s="12"/>
    </row>
    <row r="67" spans="1:28" x14ac:dyDescent="0.25">
      <c r="A67" s="42">
        <v>66</v>
      </c>
      <c r="B67" s="12" t="s">
        <v>362</v>
      </c>
      <c r="C67" s="11" t="s">
        <v>339</v>
      </c>
      <c r="D67" s="11" t="s">
        <v>22</v>
      </c>
      <c r="E67" s="23">
        <v>46234</v>
      </c>
      <c r="F67" s="14">
        <v>0.70833333333333337</v>
      </c>
      <c r="G67" s="26" t="s">
        <v>101</v>
      </c>
      <c r="H67" s="16" t="s">
        <v>363</v>
      </c>
      <c r="I67" s="16" t="s">
        <v>330</v>
      </c>
      <c r="J67" s="11">
        <v>260</v>
      </c>
      <c r="K67" s="22" t="s">
        <v>73</v>
      </c>
      <c r="L67" s="17">
        <v>156000</v>
      </c>
      <c r="M67" s="29">
        <v>0.05</v>
      </c>
      <c r="N67" s="19"/>
      <c r="O67" s="19"/>
      <c r="P67" s="2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6"/>
      <c r="AB67" s="12"/>
    </row>
    <row r="68" spans="1:28" ht="120" x14ac:dyDescent="0.25">
      <c r="A68" s="42">
        <v>67</v>
      </c>
      <c r="B68" s="12" t="s">
        <v>317</v>
      </c>
      <c r="C68" s="98" t="s">
        <v>333</v>
      </c>
      <c r="D68" s="98"/>
      <c r="E68" s="13">
        <v>46234</v>
      </c>
      <c r="F68" s="14">
        <v>0.625</v>
      </c>
      <c r="G68" s="26" t="s">
        <v>282</v>
      </c>
      <c r="H68" s="16" t="s">
        <v>318</v>
      </c>
      <c r="I68" s="16" t="s">
        <v>319</v>
      </c>
      <c r="J68" s="11" t="s">
        <v>320</v>
      </c>
      <c r="K68" s="17">
        <v>11800</v>
      </c>
      <c r="L68" s="17">
        <v>10000000</v>
      </c>
      <c r="M68" s="29">
        <v>0.05</v>
      </c>
      <c r="N68" s="19" t="s">
        <v>321</v>
      </c>
      <c r="O68" s="19" t="s">
        <v>322</v>
      </c>
      <c r="P68" s="2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6"/>
      <c r="AB68" s="12"/>
    </row>
    <row r="69" spans="1:28" ht="45" x14ac:dyDescent="0.25">
      <c r="A69" s="42">
        <v>68</v>
      </c>
      <c r="B69" s="12" t="s">
        <v>376</v>
      </c>
      <c r="C69" s="11" t="s">
        <v>19</v>
      </c>
      <c r="D69" s="11" t="s">
        <v>22</v>
      </c>
      <c r="E69" s="13">
        <v>46237</v>
      </c>
      <c r="F69" s="14">
        <v>0.41666666666666669</v>
      </c>
      <c r="G69" s="26" t="s">
        <v>56</v>
      </c>
      <c r="H69" s="16" t="s">
        <v>377</v>
      </c>
      <c r="I69" s="12" t="s">
        <v>99</v>
      </c>
      <c r="J69" s="11">
        <v>100</v>
      </c>
      <c r="K69" s="22" t="s">
        <v>73</v>
      </c>
      <c r="L69" s="22" t="s">
        <v>73</v>
      </c>
      <c r="M69" s="29">
        <v>0.05</v>
      </c>
      <c r="N69" s="22" t="s">
        <v>163</v>
      </c>
      <c r="O69" s="22"/>
      <c r="P69" s="22"/>
      <c r="Q69" s="12"/>
      <c r="R69" s="12"/>
      <c r="S69" s="12"/>
      <c r="T69" s="78"/>
      <c r="U69" s="12"/>
      <c r="V69" s="12"/>
      <c r="W69" s="12"/>
      <c r="X69" s="12"/>
      <c r="Y69" s="12"/>
      <c r="Z69" s="12"/>
      <c r="AA69" s="48" t="s">
        <v>415</v>
      </c>
      <c r="AB69" s="12"/>
    </row>
    <row r="70" spans="1:28" ht="45" x14ac:dyDescent="0.25">
      <c r="A70" s="42">
        <v>69</v>
      </c>
      <c r="B70" s="12" t="s">
        <v>378</v>
      </c>
      <c r="C70" s="11" t="s">
        <v>19</v>
      </c>
      <c r="D70" s="11" t="s">
        <v>22</v>
      </c>
      <c r="E70" s="13">
        <v>46237</v>
      </c>
      <c r="F70" s="14">
        <v>0.41666666666666669</v>
      </c>
      <c r="G70" s="26" t="s">
        <v>56</v>
      </c>
      <c r="H70" s="16" t="s">
        <v>377</v>
      </c>
      <c r="I70" s="12" t="s">
        <v>99</v>
      </c>
      <c r="J70" s="11">
        <v>33</v>
      </c>
      <c r="K70" s="22" t="s">
        <v>73</v>
      </c>
      <c r="L70" s="22" t="s">
        <v>73</v>
      </c>
      <c r="M70" s="22"/>
      <c r="N70" s="22"/>
      <c r="O70" s="22"/>
      <c r="P70" s="22"/>
      <c r="Q70" s="12"/>
      <c r="R70" s="12"/>
      <c r="S70" s="12"/>
      <c r="T70" s="78"/>
      <c r="U70" s="12"/>
      <c r="V70" s="12"/>
      <c r="W70" s="12"/>
      <c r="X70" s="12"/>
      <c r="Y70" s="12"/>
      <c r="Z70" s="12"/>
      <c r="AA70" s="48" t="s">
        <v>415</v>
      </c>
      <c r="AB70" s="12"/>
    </row>
    <row r="71" spans="1:28" ht="45" x14ac:dyDescent="0.25">
      <c r="A71" s="42">
        <v>70</v>
      </c>
      <c r="B71" s="51" t="s">
        <v>390</v>
      </c>
      <c r="C71" s="11" t="s">
        <v>19</v>
      </c>
      <c r="D71" s="11" t="s">
        <v>22</v>
      </c>
      <c r="E71" s="13">
        <v>46237</v>
      </c>
      <c r="F71" s="14">
        <v>0.70833333333333337</v>
      </c>
      <c r="G71" s="26" t="s">
        <v>101</v>
      </c>
      <c r="H71" s="16" t="s">
        <v>392</v>
      </c>
      <c r="I71" s="12" t="s">
        <v>391</v>
      </c>
      <c r="J71" s="11">
        <v>50</v>
      </c>
      <c r="K71" s="22"/>
      <c r="L71" s="22">
        <v>170000</v>
      </c>
      <c r="M71" s="22"/>
      <c r="N71" s="22"/>
      <c r="O71" s="22"/>
      <c r="P71" s="22"/>
      <c r="Q71" s="11" t="s">
        <v>82</v>
      </c>
      <c r="R71" s="11" t="s">
        <v>83</v>
      </c>
      <c r="S71" s="55">
        <v>9316050</v>
      </c>
      <c r="T71" s="95" t="s">
        <v>95</v>
      </c>
      <c r="U71" s="50">
        <v>9335000</v>
      </c>
      <c r="V71" s="12"/>
      <c r="W71" s="12"/>
      <c r="X71" s="12"/>
      <c r="Y71" s="12"/>
      <c r="Z71" s="12"/>
      <c r="AA71" s="48" t="s">
        <v>419</v>
      </c>
      <c r="AB71" s="12"/>
    </row>
    <row r="72" spans="1:28" customFormat="1" x14ac:dyDescent="0.25">
      <c r="A72" s="42">
        <v>71</v>
      </c>
      <c r="B72" s="25" t="s">
        <v>385</v>
      </c>
      <c r="C72" s="11" t="s">
        <v>19</v>
      </c>
      <c r="D72" s="11" t="s">
        <v>22</v>
      </c>
      <c r="E72" s="63">
        <v>46238</v>
      </c>
      <c r="F72" s="14">
        <v>0.5</v>
      </c>
      <c r="G72" s="26" t="s">
        <v>55</v>
      </c>
      <c r="H72" s="25" t="s">
        <v>386</v>
      </c>
      <c r="I72" s="12" t="s">
        <v>199</v>
      </c>
      <c r="J72" s="11">
        <v>20</v>
      </c>
      <c r="K72" s="80">
        <v>60000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customFormat="1" ht="45" x14ac:dyDescent="0.25">
      <c r="A73" s="42">
        <v>72</v>
      </c>
      <c r="B73" s="25" t="s">
        <v>393</v>
      </c>
      <c r="C73" s="11" t="s">
        <v>19</v>
      </c>
      <c r="D73" s="11" t="s">
        <v>22</v>
      </c>
      <c r="E73" s="63">
        <v>46240</v>
      </c>
      <c r="F73" s="14">
        <v>0.75</v>
      </c>
      <c r="G73" s="26" t="s">
        <v>101</v>
      </c>
      <c r="H73" s="25" t="s">
        <v>394</v>
      </c>
      <c r="I73" s="12" t="s">
        <v>199</v>
      </c>
      <c r="J73" s="11">
        <v>25</v>
      </c>
      <c r="K73" s="80"/>
      <c r="L73" s="1"/>
      <c r="M73" s="84">
        <v>0.05</v>
      </c>
      <c r="N73" s="76" t="s">
        <v>294</v>
      </c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73" t="s">
        <v>395</v>
      </c>
      <c r="AB73" s="1"/>
    </row>
    <row r="74" spans="1:28" customFormat="1" ht="30" x14ac:dyDescent="0.25">
      <c r="A74" s="42">
        <v>73</v>
      </c>
      <c r="B74" s="51" t="s">
        <v>424</v>
      </c>
      <c r="C74" s="99" t="s">
        <v>421</v>
      </c>
      <c r="D74" s="100"/>
      <c r="E74" s="63">
        <v>46240</v>
      </c>
      <c r="F74" s="14">
        <v>0.58333333333333337</v>
      </c>
      <c r="G74" s="26" t="s">
        <v>64</v>
      </c>
      <c r="H74" s="25" t="s">
        <v>423</v>
      </c>
      <c r="I74" s="16" t="s">
        <v>422</v>
      </c>
      <c r="J74" s="11">
        <v>1</v>
      </c>
      <c r="K74" s="80"/>
      <c r="L74" s="96">
        <v>60000</v>
      </c>
      <c r="M74" s="84">
        <v>0.05</v>
      </c>
      <c r="N74" s="76"/>
      <c r="O74" s="1"/>
      <c r="P74" s="1"/>
      <c r="Q74" s="76" t="s">
        <v>82</v>
      </c>
      <c r="R74" s="76" t="s">
        <v>94</v>
      </c>
      <c r="S74" s="88">
        <v>2065857</v>
      </c>
      <c r="T74" s="1"/>
      <c r="U74" s="1"/>
      <c r="V74" s="1"/>
      <c r="W74" s="1"/>
      <c r="X74" s="1"/>
      <c r="Y74" s="1"/>
      <c r="Z74" s="1"/>
      <c r="AA74" s="73"/>
      <c r="AB74" s="1"/>
    </row>
    <row r="75" spans="1:28" customFormat="1" ht="60" x14ac:dyDescent="0.25">
      <c r="A75" s="42">
        <v>74</v>
      </c>
      <c r="B75" s="51">
        <v>4556</v>
      </c>
      <c r="C75" s="99" t="s">
        <v>68</v>
      </c>
      <c r="D75" s="100"/>
      <c r="E75" s="63">
        <v>46241</v>
      </c>
      <c r="F75" s="14">
        <v>0.54166666666666663</v>
      </c>
      <c r="G75" s="26" t="s">
        <v>282</v>
      </c>
      <c r="H75" s="25" t="s">
        <v>334</v>
      </c>
      <c r="I75" s="16" t="s">
        <v>336</v>
      </c>
      <c r="J75" s="11">
        <v>72</v>
      </c>
      <c r="K75" s="76">
        <v>5900</v>
      </c>
      <c r="L75" s="88">
        <v>200000</v>
      </c>
      <c r="M75" s="84">
        <v>0.05</v>
      </c>
      <c r="N75" s="86" t="s">
        <v>435</v>
      </c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73"/>
      <c r="AB75" s="1"/>
    </row>
    <row r="76" spans="1:28" x14ac:dyDescent="0.25">
      <c r="A76" s="42">
        <v>75</v>
      </c>
      <c r="B76" s="51" t="s">
        <v>379</v>
      </c>
      <c r="C76" s="98" t="s">
        <v>333</v>
      </c>
      <c r="D76" s="98"/>
      <c r="E76" s="13">
        <v>46244</v>
      </c>
      <c r="F76" s="14">
        <v>0.54166666666666663</v>
      </c>
      <c r="G76" s="26" t="s">
        <v>56</v>
      </c>
      <c r="H76" s="16" t="s">
        <v>343</v>
      </c>
      <c r="I76" s="12" t="s">
        <v>380</v>
      </c>
      <c r="J76" s="11">
        <v>196</v>
      </c>
      <c r="K76" s="22">
        <v>15000</v>
      </c>
      <c r="L76" s="22">
        <v>150000</v>
      </c>
      <c r="M76" s="22"/>
      <c r="N76" s="22"/>
      <c r="O76" s="22"/>
      <c r="P76" s="22"/>
      <c r="Q76" s="11" t="s">
        <v>82</v>
      </c>
      <c r="R76" s="11" t="s">
        <v>83</v>
      </c>
      <c r="S76" s="12"/>
      <c r="T76" s="12"/>
      <c r="U76" s="12"/>
      <c r="V76" s="12"/>
      <c r="W76" s="12"/>
      <c r="X76" s="12"/>
      <c r="Y76" s="12"/>
      <c r="Z76" s="12"/>
      <c r="AA76" s="16"/>
      <c r="AB76" s="12"/>
    </row>
    <row r="77" spans="1:28" x14ac:dyDescent="0.25">
      <c r="A77" s="42">
        <v>76</v>
      </c>
      <c r="B77" s="12" t="s">
        <v>417</v>
      </c>
      <c r="C77" s="11" t="s">
        <v>19</v>
      </c>
      <c r="D77" s="11" t="s">
        <v>173</v>
      </c>
      <c r="E77" s="13">
        <v>46244</v>
      </c>
      <c r="F77" s="14">
        <v>0.75</v>
      </c>
      <c r="G77" s="26" t="s">
        <v>56</v>
      </c>
      <c r="H77" s="16" t="s">
        <v>418</v>
      </c>
      <c r="I77" s="12" t="s">
        <v>99</v>
      </c>
      <c r="J77" s="11">
        <v>1</v>
      </c>
      <c r="K77" s="22" t="s">
        <v>73</v>
      </c>
      <c r="L77" s="22" t="s">
        <v>73</v>
      </c>
      <c r="M77" s="22"/>
      <c r="N77" s="22"/>
      <c r="O77" s="22"/>
      <c r="P77" s="2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6"/>
      <c r="AB77" s="12"/>
    </row>
    <row r="78" spans="1:28" ht="45" x14ac:dyDescent="0.25">
      <c r="A78" s="42">
        <v>77</v>
      </c>
      <c r="B78" s="51" t="s">
        <v>426</v>
      </c>
      <c r="C78" s="99" t="s">
        <v>427</v>
      </c>
      <c r="D78" s="100"/>
      <c r="E78" s="13">
        <v>46244</v>
      </c>
      <c r="F78" s="14">
        <v>0.58333333333333337</v>
      </c>
      <c r="G78" s="26" t="s">
        <v>56</v>
      </c>
      <c r="H78" s="16" t="s">
        <v>429</v>
      </c>
      <c r="I78" s="16" t="s">
        <v>428</v>
      </c>
      <c r="J78" s="11" t="s">
        <v>320</v>
      </c>
      <c r="K78" s="54">
        <v>2950</v>
      </c>
      <c r="L78" s="22">
        <v>40000</v>
      </c>
      <c r="M78" s="22" t="s">
        <v>73</v>
      </c>
      <c r="N78" s="22"/>
      <c r="O78" s="22"/>
      <c r="P78" s="22"/>
      <c r="Q78" s="11" t="s">
        <v>82</v>
      </c>
      <c r="R78" s="11" t="s">
        <v>449</v>
      </c>
      <c r="S78" s="50">
        <v>1527091.69</v>
      </c>
      <c r="T78" s="11" t="s">
        <v>315</v>
      </c>
      <c r="U78" s="50">
        <v>1557404.12</v>
      </c>
      <c r="V78" s="12"/>
      <c r="W78" s="12"/>
      <c r="X78" s="12"/>
      <c r="Y78" s="12"/>
      <c r="Z78" s="12"/>
      <c r="AA78" s="16"/>
      <c r="AB78" s="12"/>
    </row>
    <row r="79" spans="1:28" x14ac:dyDescent="0.25">
      <c r="A79" s="42">
        <v>78</v>
      </c>
      <c r="B79" s="12" t="s">
        <v>416</v>
      </c>
      <c r="C79" s="11" t="s">
        <v>19</v>
      </c>
      <c r="D79" s="11" t="s">
        <v>22</v>
      </c>
      <c r="E79" s="13">
        <v>46244</v>
      </c>
      <c r="F79" s="14">
        <v>0.54166666666666663</v>
      </c>
      <c r="G79" s="26" t="s">
        <v>101</v>
      </c>
      <c r="H79" s="16" t="s">
        <v>200</v>
      </c>
      <c r="I79" s="12" t="s">
        <v>199</v>
      </c>
      <c r="J79" s="11">
        <v>97</v>
      </c>
      <c r="K79" s="22" t="s">
        <v>73</v>
      </c>
      <c r="L79" s="22">
        <v>276450</v>
      </c>
      <c r="M79" s="29">
        <v>0.05</v>
      </c>
      <c r="N79" s="22" t="s">
        <v>371</v>
      </c>
      <c r="O79" s="22"/>
      <c r="P79" s="2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6"/>
      <c r="AB79" s="12"/>
    </row>
    <row r="80" spans="1:28" ht="30" x14ac:dyDescent="0.25">
      <c r="A80" s="42">
        <v>79</v>
      </c>
      <c r="B80" s="51" t="s">
        <v>444</v>
      </c>
      <c r="C80" s="99" t="s">
        <v>445</v>
      </c>
      <c r="D80" s="100"/>
      <c r="E80" s="13">
        <v>46246</v>
      </c>
      <c r="F80" s="14">
        <v>0.625</v>
      </c>
      <c r="G80" s="26" t="s">
        <v>71</v>
      </c>
      <c r="H80" s="16" t="s">
        <v>446</v>
      </c>
      <c r="I80" s="16" t="s">
        <v>447</v>
      </c>
      <c r="J80" s="11"/>
      <c r="K80" s="19" t="s">
        <v>448</v>
      </c>
      <c r="L80" s="17">
        <v>500000</v>
      </c>
      <c r="M80" s="29">
        <v>0.05</v>
      </c>
      <c r="N80" s="22"/>
      <c r="O80" s="22"/>
      <c r="P80" s="22"/>
      <c r="Q80" s="11" t="s">
        <v>82</v>
      </c>
      <c r="R80" s="11" t="s">
        <v>94</v>
      </c>
      <c r="S80" s="12"/>
      <c r="T80" s="12"/>
      <c r="U80" s="12"/>
      <c r="V80" s="12"/>
      <c r="W80" s="12"/>
      <c r="X80" s="12"/>
      <c r="Y80" s="12"/>
      <c r="Z80" s="12"/>
      <c r="AA80" s="16"/>
      <c r="AB80" s="12"/>
    </row>
    <row r="81" spans="1:28" x14ac:dyDescent="0.25">
      <c r="A81" s="42">
        <v>80</v>
      </c>
      <c r="B81" s="51" t="s">
        <v>451</v>
      </c>
      <c r="C81" s="98" t="s">
        <v>333</v>
      </c>
      <c r="D81" s="98"/>
      <c r="E81" s="13">
        <v>46247</v>
      </c>
      <c r="F81" s="14">
        <v>0.54166666666666663</v>
      </c>
      <c r="G81" s="26" t="s">
        <v>56</v>
      </c>
      <c r="H81" s="16" t="s">
        <v>343</v>
      </c>
      <c r="I81" s="12" t="s">
        <v>380</v>
      </c>
      <c r="J81" s="11">
        <v>21</v>
      </c>
      <c r="K81" s="22">
        <v>5000</v>
      </c>
      <c r="L81" s="22">
        <v>50000</v>
      </c>
      <c r="M81" s="22"/>
      <c r="N81" s="22"/>
      <c r="O81" s="22"/>
      <c r="P81" s="22"/>
      <c r="Q81" s="11" t="s">
        <v>82</v>
      </c>
      <c r="R81" s="11" t="s">
        <v>83</v>
      </c>
      <c r="S81" s="12"/>
      <c r="T81" s="12"/>
      <c r="U81" s="12"/>
      <c r="V81" s="12"/>
      <c r="W81" s="12"/>
      <c r="X81" s="12"/>
      <c r="Y81" s="12"/>
      <c r="Z81" s="12"/>
      <c r="AA81" s="16"/>
      <c r="AB81" s="12"/>
    </row>
    <row r="82" spans="1:28" ht="30" x14ac:dyDescent="0.25">
      <c r="A82" s="42">
        <v>81</v>
      </c>
      <c r="B82" s="12" t="s">
        <v>317</v>
      </c>
      <c r="C82" s="99" t="s">
        <v>333</v>
      </c>
      <c r="D82" s="100"/>
      <c r="E82" s="13">
        <v>46248</v>
      </c>
      <c r="F82" s="14">
        <v>0.625</v>
      </c>
      <c r="G82" s="26"/>
      <c r="H82" s="16" t="s">
        <v>318</v>
      </c>
      <c r="I82" s="16" t="s">
        <v>452</v>
      </c>
      <c r="J82" s="11" t="s">
        <v>320</v>
      </c>
      <c r="K82" s="22">
        <v>11800</v>
      </c>
      <c r="L82" s="17">
        <v>10000000</v>
      </c>
      <c r="M82" s="29">
        <v>0.05</v>
      </c>
      <c r="N82" s="22" t="s">
        <v>163</v>
      </c>
      <c r="O82" s="22"/>
      <c r="P82" s="22"/>
      <c r="Q82" s="11"/>
      <c r="R82" s="11"/>
      <c r="S82" s="50"/>
      <c r="T82" s="11"/>
      <c r="U82" s="50"/>
      <c r="V82" s="12"/>
      <c r="W82" s="12"/>
      <c r="X82" s="12"/>
      <c r="Y82" s="12"/>
      <c r="Z82" s="12"/>
      <c r="AA82" s="16"/>
      <c r="AB82" s="12"/>
    </row>
    <row r="83" spans="1:28" x14ac:dyDescent="0.25">
      <c r="A83" s="42">
        <v>82</v>
      </c>
      <c r="B83" s="51" t="s">
        <v>381</v>
      </c>
      <c r="C83" s="11" t="s">
        <v>88</v>
      </c>
      <c r="D83" s="11" t="s">
        <v>22</v>
      </c>
      <c r="E83" s="23">
        <v>46252</v>
      </c>
      <c r="F83" s="14">
        <v>0.45833333333333331</v>
      </c>
      <c r="G83" s="26" t="s">
        <v>101</v>
      </c>
      <c r="H83" s="16" t="s">
        <v>200</v>
      </c>
      <c r="I83" s="12" t="s">
        <v>382</v>
      </c>
      <c r="J83" s="11">
        <v>15</v>
      </c>
      <c r="K83" s="22" t="s">
        <v>73</v>
      </c>
      <c r="L83" s="17">
        <v>60000</v>
      </c>
      <c r="M83" s="29">
        <v>0.05</v>
      </c>
      <c r="N83" s="22" t="s">
        <v>163</v>
      </c>
      <c r="O83" s="22"/>
      <c r="P83" s="22"/>
      <c r="Q83" s="11" t="s">
        <v>82</v>
      </c>
      <c r="R83" s="11" t="s">
        <v>83</v>
      </c>
      <c r="S83" s="12"/>
      <c r="T83" s="12"/>
      <c r="U83" s="12"/>
      <c r="V83" s="12"/>
      <c r="W83" s="12"/>
      <c r="X83" s="12"/>
      <c r="Y83" s="12"/>
      <c r="Z83" s="12"/>
      <c r="AA83" s="16"/>
      <c r="AB83" s="12"/>
    </row>
    <row r="84" spans="1:28" ht="90" x14ac:dyDescent="0.25">
      <c r="A84" s="42">
        <v>83</v>
      </c>
      <c r="B84" s="51" t="s">
        <v>431</v>
      </c>
      <c r="C84" s="11" t="s">
        <v>152</v>
      </c>
      <c r="D84" s="11" t="s">
        <v>22</v>
      </c>
      <c r="E84" s="23">
        <v>46252</v>
      </c>
      <c r="F84" s="14">
        <v>0.5</v>
      </c>
      <c r="G84" s="26" t="s">
        <v>433</v>
      </c>
      <c r="H84" s="16" t="s">
        <v>432</v>
      </c>
      <c r="I84" s="16" t="s">
        <v>434</v>
      </c>
      <c r="J84" s="11">
        <v>1171</v>
      </c>
      <c r="K84" s="22" t="s">
        <v>73</v>
      </c>
      <c r="L84" s="22" t="s">
        <v>73</v>
      </c>
      <c r="M84" s="29"/>
      <c r="N84" s="22"/>
      <c r="O84" s="22"/>
      <c r="P84" s="22"/>
      <c r="Q84" s="11" t="s">
        <v>82</v>
      </c>
      <c r="R84" s="11" t="s">
        <v>94</v>
      </c>
      <c r="S84" s="12"/>
      <c r="T84" s="12"/>
      <c r="U84" s="12"/>
      <c r="V84" s="12"/>
      <c r="W84" s="12"/>
      <c r="X84" s="12"/>
      <c r="Y84" s="12"/>
      <c r="Z84" s="12"/>
      <c r="AA84" s="48"/>
      <c r="AB84" s="12"/>
    </row>
    <row r="85" spans="1:28" x14ac:dyDescent="0.25">
      <c r="A85" s="42">
        <v>84</v>
      </c>
      <c r="B85" s="12" t="s">
        <v>456</v>
      </c>
      <c r="C85" s="11" t="s">
        <v>19</v>
      </c>
      <c r="D85" s="11" t="s">
        <v>22</v>
      </c>
      <c r="E85" s="23">
        <v>46253</v>
      </c>
      <c r="F85" s="14">
        <v>0.79166666666666663</v>
      </c>
      <c r="G85" s="26" t="s">
        <v>282</v>
      </c>
      <c r="H85" s="16" t="s">
        <v>457</v>
      </c>
      <c r="I85" s="16" t="s">
        <v>199</v>
      </c>
      <c r="J85" s="11">
        <v>225</v>
      </c>
      <c r="K85" s="22"/>
      <c r="L85" s="54">
        <v>320193</v>
      </c>
      <c r="M85" s="29">
        <v>0.05</v>
      </c>
      <c r="N85" s="22" t="s">
        <v>163</v>
      </c>
      <c r="O85" s="22"/>
      <c r="P85" s="2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48"/>
      <c r="AB85" s="12"/>
    </row>
    <row r="86" spans="1:28" x14ac:dyDescent="0.25">
      <c r="A86" s="42">
        <v>85</v>
      </c>
      <c r="B86" s="51" t="s">
        <v>450</v>
      </c>
      <c r="C86" s="11" t="s">
        <v>88</v>
      </c>
      <c r="D86" s="11" t="s">
        <v>173</v>
      </c>
      <c r="E86" s="23">
        <v>46255</v>
      </c>
      <c r="F86" s="14">
        <v>0.66666666666666663</v>
      </c>
      <c r="G86" s="26" t="s">
        <v>101</v>
      </c>
      <c r="H86" s="16" t="s">
        <v>67</v>
      </c>
      <c r="I86" s="16" t="s">
        <v>324</v>
      </c>
      <c r="J86" s="11">
        <v>1</v>
      </c>
      <c r="K86" s="22" t="s">
        <v>73</v>
      </c>
      <c r="L86" s="22" t="s">
        <v>73</v>
      </c>
      <c r="M86" s="29" t="s">
        <v>73</v>
      </c>
      <c r="N86" s="22"/>
      <c r="O86" s="22"/>
      <c r="P86" s="22"/>
      <c r="Q86" s="11" t="s">
        <v>82</v>
      </c>
      <c r="R86" s="11" t="s">
        <v>83</v>
      </c>
      <c r="S86" s="50">
        <v>777000</v>
      </c>
      <c r="T86" s="12"/>
      <c r="U86" s="12"/>
      <c r="V86" s="12"/>
      <c r="W86" s="12"/>
      <c r="X86" s="12"/>
      <c r="Y86" s="12"/>
      <c r="Z86" s="12"/>
      <c r="AA86" s="48"/>
      <c r="AB86" s="12"/>
    </row>
    <row r="87" spans="1:28" ht="45" x14ac:dyDescent="0.25">
      <c r="A87" s="42">
        <v>86</v>
      </c>
      <c r="B87" s="51" t="s">
        <v>411</v>
      </c>
      <c r="C87" s="11" t="s">
        <v>19</v>
      </c>
      <c r="D87" s="11" t="s">
        <v>22</v>
      </c>
      <c r="E87" s="23">
        <v>46255</v>
      </c>
      <c r="F87" s="14">
        <v>0.70833333333333337</v>
      </c>
      <c r="G87" s="26" t="s">
        <v>282</v>
      </c>
      <c r="H87" s="16" t="s">
        <v>412</v>
      </c>
      <c r="I87" s="12" t="s">
        <v>137</v>
      </c>
      <c r="J87" s="11">
        <v>16</v>
      </c>
      <c r="K87" s="22" t="s">
        <v>73</v>
      </c>
      <c r="L87" s="22" t="s">
        <v>73</v>
      </c>
      <c r="M87" s="29">
        <v>0.05</v>
      </c>
      <c r="N87" s="22" t="s">
        <v>413</v>
      </c>
      <c r="O87" s="22"/>
      <c r="P87" s="22"/>
      <c r="Q87" s="11" t="s">
        <v>82</v>
      </c>
      <c r="R87" s="11" t="s">
        <v>83</v>
      </c>
      <c r="S87" s="55">
        <v>3023984</v>
      </c>
      <c r="T87" s="11" t="s">
        <v>95</v>
      </c>
      <c r="U87" s="50">
        <v>3036432</v>
      </c>
      <c r="V87" s="12"/>
      <c r="W87" s="12"/>
      <c r="X87" s="12"/>
      <c r="Y87" s="12"/>
      <c r="Z87" s="12"/>
      <c r="AA87" s="48" t="s">
        <v>466</v>
      </c>
      <c r="AB87" s="12"/>
    </row>
    <row r="88" spans="1:28" x14ac:dyDescent="0.25">
      <c r="A88" s="42">
        <v>87</v>
      </c>
      <c r="B88" s="12" t="s">
        <v>481</v>
      </c>
      <c r="C88" s="99" t="s">
        <v>165</v>
      </c>
      <c r="D88" s="100"/>
      <c r="E88" s="23">
        <v>46261</v>
      </c>
      <c r="F88" s="14">
        <v>0.58333333333333337</v>
      </c>
      <c r="G88" s="26" t="s">
        <v>64</v>
      </c>
      <c r="H88" s="16" t="s">
        <v>482</v>
      </c>
      <c r="I88" s="12" t="s">
        <v>483</v>
      </c>
      <c r="J88" s="11">
        <v>1</v>
      </c>
      <c r="K88" s="22"/>
      <c r="L88" s="22">
        <v>50000</v>
      </c>
      <c r="M88" s="29"/>
      <c r="N88" s="22"/>
      <c r="O88" s="22"/>
      <c r="P88" s="22"/>
      <c r="Q88" s="11" t="s">
        <v>82</v>
      </c>
      <c r="R88" s="11" t="s">
        <v>83</v>
      </c>
      <c r="S88" s="12"/>
      <c r="T88" s="11" t="s">
        <v>95</v>
      </c>
      <c r="U88" s="94"/>
      <c r="V88" s="12"/>
      <c r="W88" s="12"/>
      <c r="X88" s="12"/>
      <c r="Y88" s="12"/>
      <c r="Z88" s="12"/>
      <c r="AA88" s="48"/>
      <c r="AB88" s="12"/>
    </row>
    <row r="89" spans="1:28" x14ac:dyDescent="0.25">
      <c r="A89" s="42">
        <v>88</v>
      </c>
      <c r="B89" s="51" t="s">
        <v>440</v>
      </c>
      <c r="C89" s="11" t="s">
        <v>88</v>
      </c>
      <c r="D89" s="11" t="s">
        <v>22</v>
      </c>
      <c r="E89" s="23">
        <v>46262</v>
      </c>
      <c r="F89" s="14">
        <v>0.625</v>
      </c>
      <c r="G89" s="26" t="s">
        <v>433</v>
      </c>
      <c r="H89" s="16" t="s">
        <v>441</v>
      </c>
      <c r="I89" s="12" t="s">
        <v>442</v>
      </c>
      <c r="J89" s="11">
        <v>1</v>
      </c>
      <c r="K89" s="22"/>
      <c r="L89" s="17"/>
      <c r="M89" s="29">
        <v>0.05</v>
      </c>
      <c r="N89" s="22" t="s">
        <v>443</v>
      </c>
      <c r="O89" s="22"/>
      <c r="P89" s="22"/>
      <c r="Q89" s="11" t="s">
        <v>82</v>
      </c>
      <c r="R89" s="11" t="s">
        <v>94</v>
      </c>
      <c r="S89" s="50">
        <v>79945420</v>
      </c>
      <c r="T89" s="11"/>
      <c r="U89" s="50"/>
      <c r="V89" s="12"/>
      <c r="W89" s="12"/>
      <c r="X89" s="12"/>
      <c r="Y89" s="12"/>
      <c r="Z89" s="12"/>
      <c r="AA89" s="16"/>
      <c r="AB89" s="12"/>
    </row>
    <row r="90" spans="1:28" ht="105" x14ac:dyDescent="0.25">
      <c r="A90" s="42">
        <v>89</v>
      </c>
      <c r="B90" s="12" t="s">
        <v>453</v>
      </c>
      <c r="C90" s="11" t="s">
        <v>19</v>
      </c>
      <c r="D90" s="11" t="s">
        <v>22</v>
      </c>
      <c r="E90" s="23">
        <v>46263</v>
      </c>
      <c r="F90" s="14">
        <v>0.70833333333333304</v>
      </c>
      <c r="G90" s="26" t="s">
        <v>101</v>
      </c>
      <c r="H90" s="16" t="s">
        <v>454</v>
      </c>
      <c r="I90" s="16" t="s">
        <v>80</v>
      </c>
      <c r="J90" s="11">
        <v>2</v>
      </c>
      <c r="K90" s="22"/>
      <c r="L90" s="54">
        <v>64987</v>
      </c>
      <c r="M90" s="29">
        <v>0.05</v>
      </c>
      <c r="N90" s="22" t="s">
        <v>455</v>
      </c>
      <c r="O90" s="22"/>
      <c r="P90" s="2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48" t="s">
        <v>508</v>
      </c>
      <c r="AB90" s="12"/>
    </row>
    <row r="91" spans="1:28" x14ac:dyDescent="0.25">
      <c r="A91" s="42">
        <v>90</v>
      </c>
      <c r="B91" s="12" t="s">
        <v>476</v>
      </c>
      <c r="C91" s="11" t="s">
        <v>19</v>
      </c>
      <c r="D91" s="11" t="s">
        <v>173</v>
      </c>
      <c r="E91" s="23">
        <v>46266</v>
      </c>
      <c r="F91" s="14">
        <v>0.58333333333333337</v>
      </c>
      <c r="G91" s="26" t="s">
        <v>55</v>
      </c>
      <c r="H91" s="16" t="s">
        <v>293</v>
      </c>
      <c r="I91" s="16" t="s">
        <v>199</v>
      </c>
      <c r="J91" s="11">
        <v>160</v>
      </c>
      <c r="K91" s="22"/>
      <c r="L91" s="54">
        <v>484000</v>
      </c>
      <c r="M91" s="29">
        <v>0.05</v>
      </c>
      <c r="N91" s="22" t="s">
        <v>365</v>
      </c>
      <c r="O91" s="22"/>
      <c r="P91" s="2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48"/>
      <c r="AB91" s="12"/>
    </row>
    <row r="92" spans="1:28" ht="45" x14ac:dyDescent="0.25">
      <c r="A92" s="42">
        <v>91</v>
      </c>
      <c r="B92" s="12" t="s">
        <v>420</v>
      </c>
      <c r="C92" s="11" t="s">
        <v>19</v>
      </c>
      <c r="D92" s="11" t="s">
        <v>22</v>
      </c>
      <c r="E92" s="13">
        <v>46266</v>
      </c>
      <c r="F92" s="14">
        <v>0.70833333333333304</v>
      </c>
      <c r="G92" s="26" t="s">
        <v>282</v>
      </c>
      <c r="H92" s="16" t="s">
        <v>363</v>
      </c>
      <c r="I92" s="12" t="s">
        <v>161</v>
      </c>
      <c r="J92" s="11">
        <v>600</v>
      </c>
      <c r="K92" s="22"/>
      <c r="L92" s="17">
        <v>1080000</v>
      </c>
      <c r="M92" s="29">
        <v>0.05</v>
      </c>
      <c r="N92" s="22" t="s">
        <v>163</v>
      </c>
      <c r="O92" s="22"/>
      <c r="P92" s="2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48" t="s">
        <v>425</v>
      </c>
      <c r="AB92" s="12"/>
    </row>
    <row r="93" spans="1:28" ht="33" customHeight="1" x14ac:dyDescent="0.25">
      <c r="A93" s="42">
        <v>92</v>
      </c>
      <c r="B93" s="12" t="s">
        <v>487</v>
      </c>
      <c r="C93" s="99" t="s">
        <v>165</v>
      </c>
      <c r="D93" s="100"/>
      <c r="E93" s="23">
        <v>46268</v>
      </c>
      <c r="F93" s="14">
        <v>0.66666666666666663</v>
      </c>
      <c r="G93" s="26" t="s">
        <v>55</v>
      </c>
      <c r="H93" s="16" t="s">
        <v>489</v>
      </c>
      <c r="I93" s="16" t="s">
        <v>488</v>
      </c>
      <c r="J93" s="11">
        <v>5</v>
      </c>
      <c r="K93" s="22">
        <v>1000</v>
      </c>
      <c r="L93" s="54">
        <v>5000</v>
      </c>
      <c r="M93" s="29">
        <v>0.05</v>
      </c>
      <c r="N93" s="22"/>
      <c r="O93" s="22"/>
      <c r="P93" s="2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48"/>
      <c r="AB93" s="12"/>
    </row>
    <row r="94" spans="1:28" x14ac:dyDescent="0.25">
      <c r="A94" s="42">
        <v>93</v>
      </c>
      <c r="B94" s="12" t="s">
        <v>479</v>
      </c>
      <c r="C94" s="11" t="s">
        <v>19</v>
      </c>
      <c r="D94" s="11" t="s">
        <v>173</v>
      </c>
      <c r="E94" s="23">
        <v>46269</v>
      </c>
      <c r="F94" s="14">
        <v>0.5</v>
      </c>
      <c r="G94" s="26" t="s">
        <v>101</v>
      </c>
      <c r="H94" s="16" t="s">
        <v>480</v>
      </c>
      <c r="I94" s="16" t="s">
        <v>255</v>
      </c>
      <c r="J94" s="11">
        <v>1</v>
      </c>
      <c r="K94" s="22" t="s">
        <v>73</v>
      </c>
      <c r="L94" s="54">
        <v>30000</v>
      </c>
      <c r="M94" s="29">
        <v>0.05</v>
      </c>
      <c r="N94" s="22" t="s">
        <v>365</v>
      </c>
      <c r="O94" s="22"/>
      <c r="P94" s="2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48"/>
      <c r="AB94" s="12"/>
    </row>
    <row r="95" spans="1:28" ht="45" x14ac:dyDescent="0.25">
      <c r="A95" s="42">
        <v>94</v>
      </c>
      <c r="B95" s="12" t="s">
        <v>470</v>
      </c>
      <c r="C95" s="11" t="s">
        <v>19</v>
      </c>
      <c r="D95" s="11" t="s">
        <v>22</v>
      </c>
      <c r="E95" s="23">
        <v>46273</v>
      </c>
      <c r="F95" s="14">
        <v>0.66666666666666663</v>
      </c>
      <c r="G95" s="26" t="s">
        <v>101</v>
      </c>
      <c r="H95" s="16" t="s">
        <v>363</v>
      </c>
      <c r="I95" s="12" t="s">
        <v>199</v>
      </c>
      <c r="J95" s="11">
        <v>100</v>
      </c>
      <c r="K95" s="17"/>
      <c r="L95" s="50">
        <v>170000</v>
      </c>
      <c r="M95" s="29">
        <v>0.05</v>
      </c>
      <c r="N95" s="22" t="s">
        <v>365</v>
      </c>
      <c r="O95" s="22"/>
      <c r="P95" s="2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48" t="s">
        <v>475</v>
      </c>
      <c r="AB95" s="12"/>
    </row>
    <row r="96" spans="1:28" x14ac:dyDescent="0.25">
      <c r="A96" s="42">
        <v>95</v>
      </c>
      <c r="B96" s="12" t="s">
        <v>477</v>
      </c>
      <c r="C96" s="11" t="s">
        <v>19</v>
      </c>
      <c r="D96" s="11" t="s">
        <v>22</v>
      </c>
      <c r="E96" s="13">
        <v>46275</v>
      </c>
      <c r="F96" s="14">
        <v>0.5</v>
      </c>
      <c r="G96" s="26" t="s">
        <v>101</v>
      </c>
      <c r="H96" s="16" t="s">
        <v>478</v>
      </c>
      <c r="I96" s="12" t="s">
        <v>161</v>
      </c>
      <c r="J96" s="11">
        <v>300</v>
      </c>
      <c r="K96" s="17"/>
      <c r="L96" s="17">
        <v>1200000</v>
      </c>
      <c r="M96" s="29">
        <v>0.05</v>
      </c>
      <c r="N96" s="22" t="s">
        <v>193</v>
      </c>
      <c r="O96" s="22"/>
      <c r="P96" s="2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6"/>
      <c r="AB96" s="12"/>
    </row>
    <row r="97" spans="1:28" ht="30" x14ac:dyDescent="0.25">
      <c r="A97" s="42">
        <v>96</v>
      </c>
      <c r="B97" s="12" t="s">
        <v>484</v>
      </c>
      <c r="C97" s="11" t="s">
        <v>19</v>
      </c>
      <c r="D97" s="11" t="s">
        <v>22</v>
      </c>
      <c r="E97" s="13">
        <v>46276</v>
      </c>
      <c r="F97" s="14">
        <v>0.625</v>
      </c>
      <c r="G97" s="26" t="s">
        <v>55</v>
      </c>
      <c r="H97" s="16" t="s">
        <v>474</v>
      </c>
      <c r="I97" s="16" t="s">
        <v>485</v>
      </c>
      <c r="J97" s="11">
        <v>2313</v>
      </c>
      <c r="K97" s="17"/>
      <c r="L97" s="17">
        <v>5000000</v>
      </c>
      <c r="M97" s="29">
        <v>0.05</v>
      </c>
      <c r="N97" s="22" t="s">
        <v>163</v>
      </c>
      <c r="O97" s="22"/>
      <c r="P97" s="2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6"/>
      <c r="AB97" s="12"/>
    </row>
    <row r="98" spans="1:28" x14ac:dyDescent="0.25">
      <c r="A98" s="42">
        <v>97</v>
      </c>
      <c r="B98" s="12" t="s">
        <v>490</v>
      </c>
      <c r="C98" s="11" t="s">
        <v>88</v>
      </c>
      <c r="D98" s="11" t="s">
        <v>22</v>
      </c>
      <c r="E98" s="13">
        <v>46276</v>
      </c>
      <c r="F98" s="14">
        <v>0.75</v>
      </c>
      <c r="G98" s="26" t="s">
        <v>71</v>
      </c>
      <c r="H98" s="16" t="s">
        <v>200</v>
      </c>
      <c r="I98" s="12" t="s">
        <v>491</v>
      </c>
      <c r="J98" s="11">
        <v>1</v>
      </c>
      <c r="K98" s="22" t="s">
        <v>73</v>
      </c>
      <c r="L98" s="17">
        <v>96300</v>
      </c>
      <c r="M98" s="29">
        <v>0.05</v>
      </c>
      <c r="N98" s="22" t="s">
        <v>365</v>
      </c>
      <c r="O98" s="22"/>
      <c r="P98" s="2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6"/>
      <c r="AB98" s="12"/>
    </row>
    <row r="99" spans="1:28" x14ac:dyDescent="0.25">
      <c r="A99" s="11">
        <v>98</v>
      </c>
      <c r="B99" s="12" t="s">
        <v>493</v>
      </c>
      <c r="C99" s="11" t="s">
        <v>19</v>
      </c>
      <c r="D99" s="11" t="s">
        <v>22</v>
      </c>
      <c r="E99" s="13">
        <v>46282</v>
      </c>
      <c r="F99" s="14">
        <v>0.54166666666666663</v>
      </c>
      <c r="G99" s="97" t="s">
        <v>101</v>
      </c>
      <c r="H99" s="16" t="s">
        <v>363</v>
      </c>
      <c r="I99" s="12" t="s">
        <v>494</v>
      </c>
      <c r="J99" s="11">
        <v>800</v>
      </c>
      <c r="K99" s="17"/>
      <c r="L99" s="17">
        <v>35200</v>
      </c>
      <c r="M99" s="29">
        <v>0.05</v>
      </c>
      <c r="N99" s="22" t="s">
        <v>495</v>
      </c>
      <c r="O99" s="22"/>
      <c r="P99" s="22"/>
      <c r="Q99" s="12"/>
      <c r="R99" s="50"/>
      <c r="S99" s="12"/>
      <c r="T99" s="12"/>
      <c r="U99" s="12"/>
      <c r="V99" s="12"/>
      <c r="W99" s="12"/>
      <c r="X99" s="12"/>
      <c r="Y99" s="12"/>
      <c r="Z99" s="12"/>
      <c r="AA99" s="16"/>
      <c r="AB99" s="12"/>
    </row>
    <row r="100" spans="1:28" ht="30" x14ac:dyDescent="0.25">
      <c r="A100" s="11">
        <v>99</v>
      </c>
      <c r="B100" s="12" t="s">
        <v>500</v>
      </c>
      <c r="C100" s="98" t="s">
        <v>498</v>
      </c>
      <c r="D100" s="98"/>
      <c r="E100" s="13">
        <v>46282</v>
      </c>
      <c r="F100" s="14">
        <v>0.58333333333333304</v>
      </c>
      <c r="G100" s="26" t="s">
        <v>56</v>
      </c>
      <c r="H100" s="16" t="s">
        <v>502</v>
      </c>
      <c r="I100" s="16" t="s">
        <v>503</v>
      </c>
      <c r="J100" s="11" t="s">
        <v>320</v>
      </c>
      <c r="K100" s="17"/>
      <c r="L100" s="17">
        <v>200000</v>
      </c>
      <c r="M100" s="29">
        <v>0.05</v>
      </c>
      <c r="N100" s="22"/>
      <c r="O100" s="22"/>
      <c r="P100" s="22"/>
      <c r="Q100" s="12"/>
      <c r="R100" s="50"/>
      <c r="S100" s="12"/>
      <c r="T100" s="12"/>
      <c r="U100" s="12"/>
      <c r="V100" s="12"/>
      <c r="W100" s="12"/>
      <c r="X100" s="12"/>
      <c r="Y100" s="12"/>
      <c r="Z100" s="12"/>
      <c r="AA100" s="16"/>
      <c r="AB100" s="12"/>
    </row>
    <row r="101" spans="1:28" ht="30" x14ac:dyDescent="0.25">
      <c r="A101" s="11">
        <v>100</v>
      </c>
      <c r="B101" s="16" t="s">
        <v>501</v>
      </c>
      <c r="C101" s="98" t="s">
        <v>498</v>
      </c>
      <c r="D101" s="98"/>
      <c r="E101" s="13">
        <v>46284</v>
      </c>
      <c r="F101" s="14">
        <v>0.58333333333333304</v>
      </c>
      <c r="G101" s="26" t="s">
        <v>56</v>
      </c>
      <c r="H101" s="16" t="s">
        <v>497</v>
      </c>
      <c r="I101" s="16" t="s">
        <v>496</v>
      </c>
      <c r="J101" s="11" t="s">
        <v>320</v>
      </c>
      <c r="K101" s="17"/>
      <c r="L101" s="17">
        <v>1000000</v>
      </c>
      <c r="M101" s="29">
        <v>0.05</v>
      </c>
      <c r="N101" s="22" t="s">
        <v>499</v>
      </c>
      <c r="O101" s="22"/>
      <c r="P101" s="22"/>
      <c r="Q101" s="12"/>
      <c r="R101" s="78"/>
      <c r="S101" s="12"/>
      <c r="T101" s="12"/>
      <c r="U101" s="12"/>
      <c r="V101" s="12"/>
      <c r="W101" s="12"/>
      <c r="X101" s="12"/>
      <c r="Y101" s="12"/>
      <c r="Z101" s="12"/>
      <c r="AA101" s="16"/>
      <c r="AB101" s="12"/>
    </row>
    <row r="102" spans="1:28" x14ac:dyDescent="0.25">
      <c r="G102" s="31"/>
      <c r="K102" s="33"/>
      <c r="L102" s="33"/>
      <c r="M102" s="34"/>
      <c r="N102" s="34"/>
      <c r="O102" s="34"/>
      <c r="P102" s="34"/>
      <c r="Q102" s="83"/>
      <c r="R102" s="82"/>
    </row>
    <row r="103" spans="1:28" x14ac:dyDescent="0.25">
      <c r="G103" s="31"/>
      <c r="K103" s="33"/>
      <c r="L103" s="33"/>
      <c r="M103" s="34"/>
      <c r="N103" s="34"/>
      <c r="O103" s="34"/>
      <c r="P103" s="34"/>
    </row>
    <row r="104" spans="1:28" x14ac:dyDescent="0.25">
      <c r="G104" s="31"/>
      <c r="K104" s="33"/>
      <c r="L104" s="33"/>
      <c r="M104" s="34"/>
      <c r="N104" s="34"/>
      <c r="O104" s="34"/>
      <c r="P104" s="34"/>
    </row>
    <row r="105" spans="1:28" x14ac:dyDescent="0.25">
      <c r="G105" s="31"/>
      <c r="K105" s="33"/>
      <c r="L105" s="33"/>
      <c r="M105" s="34"/>
      <c r="N105" s="34"/>
      <c r="O105" s="34"/>
      <c r="P105" s="34"/>
    </row>
    <row r="106" spans="1:28" x14ac:dyDescent="0.25">
      <c r="G106" s="31"/>
      <c r="K106" s="33"/>
      <c r="L106" s="33"/>
      <c r="M106" s="34"/>
      <c r="N106" s="34"/>
      <c r="O106" s="34"/>
      <c r="P106" s="34"/>
    </row>
    <row r="107" spans="1:28" x14ac:dyDescent="0.25">
      <c r="G107" s="31"/>
      <c r="K107" s="33"/>
      <c r="L107" s="33"/>
      <c r="M107" s="34"/>
      <c r="N107" s="34"/>
      <c r="O107" s="34"/>
      <c r="P107" s="34"/>
    </row>
    <row r="108" spans="1:28" x14ac:dyDescent="0.25">
      <c r="G108" s="31"/>
      <c r="K108" s="33"/>
      <c r="L108" s="33"/>
      <c r="M108" s="34"/>
      <c r="N108" s="34"/>
      <c r="O108" s="34"/>
      <c r="P108" s="34"/>
    </row>
    <row r="109" spans="1:28" x14ac:dyDescent="0.25">
      <c r="G109" s="31"/>
      <c r="K109" s="33"/>
      <c r="L109" s="33"/>
      <c r="M109" s="34"/>
      <c r="N109" s="34"/>
      <c r="O109" s="34"/>
      <c r="P109" s="34"/>
    </row>
    <row r="110" spans="1:28" x14ac:dyDescent="0.25">
      <c r="G110" s="31"/>
      <c r="K110" s="33"/>
      <c r="L110" s="33"/>
      <c r="M110" s="34"/>
      <c r="N110" s="34"/>
      <c r="O110" s="34"/>
      <c r="P110" s="34"/>
    </row>
    <row r="111" spans="1:28" x14ac:dyDescent="0.25">
      <c r="G111" s="31"/>
      <c r="K111" s="33"/>
      <c r="L111" s="33"/>
      <c r="M111" s="34"/>
      <c r="N111" s="34"/>
      <c r="O111" s="34"/>
      <c r="P111" s="34"/>
    </row>
    <row r="112" spans="1:28" x14ac:dyDescent="0.25">
      <c r="G112" s="31"/>
      <c r="K112" s="33"/>
      <c r="L112" s="33"/>
      <c r="M112" s="34"/>
      <c r="N112" s="34"/>
      <c r="O112" s="34"/>
      <c r="P112" s="34"/>
    </row>
    <row r="113" spans="7:16" x14ac:dyDescent="0.25">
      <c r="G113" s="31"/>
      <c r="K113" s="33"/>
      <c r="L113" s="33"/>
      <c r="M113" s="34"/>
      <c r="N113" s="34"/>
      <c r="O113" s="34"/>
      <c r="P113" s="34"/>
    </row>
    <row r="114" spans="7:16" x14ac:dyDescent="0.25">
      <c r="G114" s="31"/>
      <c r="K114" s="33"/>
      <c r="L114" s="33"/>
      <c r="M114" s="34"/>
      <c r="N114" s="34"/>
      <c r="O114" s="34"/>
      <c r="P114" s="34"/>
    </row>
    <row r="115" spans="7:16" x14ac:dyDescent="0.25">
      <c r="G115" s="31"/>
      <c r="K115" s="33"/>
      <c r="L115" s="33"/>
      <c r="M115" s="34"/>
      <c r="N115" s="34"/>
      <c r="O115" s="34"/>
      <c r="P115" s="34"/>
    </row>
    <row r="116" spans="7:16" x14ac:dyDescent="0.25">
      <c r="G116" s="31"/>
      <c r="K116" s="33"/>
      <c r="L116" s="33"/>
      <c r="M116" s="34"/>
      <c r="N116" s="34"/>
      <c r="O116" s="34"/>
      <c r="P116" s="34"/>
    </row>
    <row r="117" spans="7:16" x14ac:dyDescent="0.25">
      <c r="G117" s="31"/>
      <c r="K117" s="33"/>
      <c r="L117" s="33"/>
      <c r="M117" s="34"/>
      <c r="N117" s="34"/>
      <c r="O117" s="34"/>
      <c r="P117" s="34"/>
    </row>
    <row r="118" spans="7:16" x14ac:dyDescent="0.25">
      <c r="G118" s="31"/>
      <c r="K118" s="33"/>
      <c r="L118" s="33"/>
      <c r="M118" s="34"/>
      <c r="N118" s="34"/>
      <c r="O118" s="34"/>
      <c r="P118" s="34"/>
    </row>
    <row r="119" spans="7:16" x14ac:dyDescent="0.25">
      <c r="G119" s="31"/>
      <c r="K119" s="33"/>
      <c r="L119" s="33"/>
      <c r="M119" s="34"/>
      <c r="N119" s="34"/>
      <c r="O119" s="34"/>
      <c r="P119" s="34"/>
    </row>
    <row r="120" spans="7:16" x14ac:dyDescent="0.25">
      <c r="G120" s="31"/>
      <c r="K120" s="33"/>
      <c r="L120" s="33"/>
      <c r="M120" s="34"/>
      <c r="N120" s="34"/>
      <c r="O120" s="34"/>
      <c r="P120" s="34"/>
    </row>
    <row r="121" spans="7:16" x14ac:dyDescent="0.25">
      <c r="G121" s="31"/>
      <c r="K121" s="33"/>
      <c r="L121" s="33"/>
      <c r="M121" s="34"/>
      <c r="N121" s="34"/>
      <c r="O121" s="34"/>
      <c r="P121" s="34"/>
    </row>
    <row r="122" spans="7:16" x14ac:dyDescent="0.25">
      <c r="G122" s="31"/>
      <c r="K122" s="33"/>
      <c r="L122" s="33"/>
      <c r="M122" s="34"/>
      <c r="N122" s="34"/>
      <c r="O122" s="34"/>
      <c r="P122" s="34"/>
    </row>
    <row r="123" spans="7:16" x14ac:dyDescent="0.25">
      <c r="G123" s="31"/>
      <c r="K123" s="33"/>
      <c r="L123" s="33"/>
      <c r="M123" s="34"/>
      <c r="N123" s="34"/>
      <c r="O123" s="34"/>
      <c r="P123" s="34"/>
    </row>
    <row r="124" spans="7:16" x14ac:dyDescent="0.25">
      <c r="G124" s="31"/>
      <c r="K124" s="33"/>
      <c r="L124" s="33"/>
      <c r="M124" s="34"/>
      <c r="N124" s="34"/>
      <c r="O124" s="34"/>
      <c r="P124" s="34"/>
    </row>
    <row r="125" spans="7:16" x14ac:dyDescent="0.25">
      <c r="G125" s="31"/>
    </row>
    <row r="126" spans="7:16" x14ac:dyDescent="0.25">
      <c r="G126" s="31"/>
    </row>
    <row r="127" spans="7:16" x14ac:dyDescent="0.25">
      <c r="G127" s="31"/>
    </row>
    <row r="128" spans="7:16" x14ac:dyDescent="0.25">
      <c r="G128" s="31"/>
    </row>
    <row r="129" spans="7:7" x14ac:dyDescent="0.25">
      <c r="G129" s="31"/>
    </row>
    <row r="130" spans="7:7" x14ac:dyDescent="0.25">
      <c r="G130" s="31"/>
    </row>
    <row r="131" spans="7:7" x14ac:dyDescent="0.25">
      <c r="G131" s="31"/>
    </row>
    <row r="132" spans="7:7" x14ac:dyDescent="0.25">
      <c r="G132" s="31"/>
    </row>
    <row r="133" spans="7:7" x14ac:dyDescent="0.25">
      <c r="G133" s="31"/>
    </row>
    <row r="134" spans="7:7" x14ac:dyDescent="0.25">
      <c r="G134" s="31"/>
    </row>
    <row r="135" spans="7:7" x14ac:dyDescent="0.25">
      <c r="G135" s="31"/>
    </row>
    <row r="136" spans="7:7" x14ac:dyDescent="0.25">
      <c r="G136" s="31"/>
    </row>
    <row r="137" spans="7:7" x14ac:dyDescent="0.25">
      <c r="G137" s="31"/>
    </row>
    <row r="138" spans="7:7" x14ac:dyDescent="0.25">
      <c r="G138" s="31"/>
    </row>
    <row r="139" spans="7:7" x14ac:dyDescent="0.25">
      <c r="G139" s="31"/>
    </row>
    <row r="140" spans="7:7" x14ac:dyDescent="0.25">
      <c r="G140" s="31"/>
    </row>
    <row r="141" spans="7:7" x14ac:dyDescent="0.25">
      <c r="G141" s="31"/>
    </row>
    <row r="142" spans="7:7" x14ac:dyDescent="0.25">
      <c r="G142" s="31"/>
    </row>
    <row r="143" spans="7:7" x14ac:dyDescent="0.25">
      <c r="G143" s="31"/>
    </row>
    <row r="144" spans="7:7" x14ac:dyDescent="0.25">
      <c r="G144" s="31"/>
    </row>
    <row r="145" spans="7:7" x14ac:dyDescent="0.25">
      <c r="G145" s="31"/>
    </row>
    <row r="146" spans="7:7" x14ac:dyDescent="0.25">
      <c r="G146" s="31"/>
    </row>
    <row r="147" spans="7:7" x14ac:dyDescent="0.25">
      <c r="G147" s="31"/>
    </row>
    <row r="148" spans="7:7" x14ac:dyDescent="0.25">
      <c r="G148" s="31"/>
    </row>
    <row r="149" spans="7:7" x14ac:dyDescent="0.25">
      <c r="G149" s="31"/>
    </row>
    <row r="150" spans="7:7" x14ac:dyDescent="0.25">
      <c r="G150" s="31"/>
    </row>
    <row r="151" spans="7:7" x14ac:dyDescent="0.25">
      <c r="G151" s="31"/>
    </row>
    <row r="152" spans="7:7" x14ac:dyDescent="0.25">
      <c r="G152" s="31"/>
    </row>
    <row r="153" spans="7:7" x14ac:dyDescent="0.25">
      <c r="G153" s="31"/>
    </row>
    <row r="154" spans="7:7" x14ac:dyDescent="0.25">
      <c r="G154" s="31"/>
    </row>
    <row r="155" spans="7:7" x14ac:dyDescent="0.25">
      <c r="G155" s="31"/>
    </row>
    <row r="156" spans="7:7" x14ac:dyDescent="0.25">
      <c r="G156" s="31"/>
    </row>
    <row r="157" spans="7:7" x14ac:dyDescent="0.25">
      <c r="G157" s="31"/>
    </row>
    <row r="158" spans="7:7" x14ac:dyDescent="0.25">
      <c r="G158" s="31"/>
    </row>
    <row r="159" spans="7:7" x14ac:dyDescent="0.25">
      <c r="G159" s="31"/>
    </row>
    <row r="160" spans="7:7" x14ac:dyDescent="0.25">
      <c r="G160" s="31"/>
    </row>
    <row r="161" spans="7:7" x14ac:dyDescent="0.25">
      <c r="G161" s="31"/>
    </row>
    <row r="162" spans="7:7" x14ac:dyDescent="0.25">
      <c r="G162" s="31"/>
    </row>
    <row r="163" spans="7:7" x14ac:dyDescent="0.25">
      <c r="G163" s="31"/>
    </row>
    <row r="164" spans="7:7" x14ac:dyDescent="0.25">
      <c r="G164" s="31"/>
    </row>
    <row r="165" spans="7:7" x14ac:dyDescent="0.25">
      <c r="G165" s="31"/>
    </row>
    <row r="166" spans="7:7" x14ac:dyDescent="0.25">
      <c r="G166" s="31"/>
    </row>
    <row r="167" spans="7:7" x14ac:dyDescent="0.25">
      <c r="G167" s="31"/>
    </row>
    <row r="168" spans="7:7" x14ac:dyDescent="0.25">
      <c r="G168" s="31"/>
    </row>
    <row r="169" spans="7:7" x14ac:dyDescent="0.25">
      <c r="G169" s="31"/>
    </row>
    <row r="170" spans="7:7" x14ac:dyDescent="0.25">
      <c r="G170" s="31"/>
    </row>
    <row r="171" spans="7:7" x14ac:dyDescent="0.25">
      <c r="G171" s="31"/>
    </row>
    <row r="172" spans="7:7" x14ac:dyDescent="0.25">
      <c r="G172" s="31"/>
    </row>
    <row r="173" spans="7:7" x14ac:dyDescent="0.25">
      <c r="G173" s="31"/>
    </row>
    <row r="174" spans="7:7" x14ac:dyDescent="0.25">
      <c r="G174" s="31"/>
    </row>
    <row r="175" spans="7:7" x14ac:dyDescent="0.25">
      <c r="G175" s="31"/>
    </row>
    <row r="176" spans="7:7" x14ac:dyDescent="0.25">
      <c r="G176" s="31"/>
    </row>
    <row r="177" spans="7:7" x14ac:dyDescent="0.25">
      <c r="G177" s="31"/>
    </row>
    <row r="178" spans="7:7" x14ac:dyDescent="0.25">
      <c r="G178" s="31"/>
    </row>
    <row r="179" spans="7:7" x14ac:dyDescent="0.25">
      <c r="G179" s="31"/>
    </row>
    <row r="180" spans="7:7" x14ac:dyDescent="0.25">
      <c r="G180" s="31"/>
    </row>
    <row r="181" spans="7:7" x14ac:dyDescent="0.25">
      <c r="G181" s="31"/>
    </row>
    <row r="182" spans="7:7" x14ac:dyDescent="0.25">
      <c r="G182" s="31"/>
    </row>
    <row r="183" spans="7:7" x14ac:dyDescent="0.25">
      <c r="G183" s="31"/>
    </row>
    <row r="184" spans="7:7" x14ac:dyDescent="0.25">
      <c r="G184" s="31"/>
    </row>
    <row r="185" spans="7:7" x14ac:dyDescent="0.25">
      <c r="G185" s="31"/>
    </row>
    <row r="186" spans="7:7" x14ac:dyDescent="0.25">
      <c r="G186" s="31"/>
    </row>
    <row r="187" spans="7:7" x14ac:dyDescent="0.25">
      <c r="G187" s="31"/>
    </row>
    <row r="188" spans="7:7" x14ac:dyDescent="0.25">
      <c r="G188" s="31"/>
    </row>
    <row r="189" spans="7:7" x14ac:dyDescent="0.25">
      <c r="G189" s="31"/>
    </row>
    <row r="190" spans="7:7" x14ac:dyDescent="0.25">
      <c r="G190" s="31"/>
    </row>
    <row r="191" spans="7:7" x14ac:dyDescent="0.25">
      <c r="G191" s="31"/>
    </row>
    <row r="192" spans="7:7" x14ac:dyDescent="0.25">
      <c r="G192" s="31"/>
    </row>
    <row r="193" spans="7:7" x14ac:dyDescent="0.25">
      <c r="G193" s="31"/>
    </row>
    <row r="194" spans="7:7" x14ac:dyDescent="0.25">
      <c r="G194" s="31"/>
    </row>
    <row r="195" spans="7:7" x14ac:dyDescent="0.25">
      <c r="G195" s="31"/>
    </row>
    <row r="196" spans="7:7" x14ac:dyDescent="0.25">
      <c r="G196" s="31"/>
    </row>
    <row r="197" spans="7:7" x14ac:dyDescent="0.25">
      <c r="G197" s="31"/>
    </row>
    <row r="198" spans="7:7" x14ac:dyDescent="0.25">
      <c r="G198" s="31"/>
    </row>
    <row r="199" spans="7:7" x14ac:dyDescent="0.25">
      <c r="G199" s="31"/>
    </row>
    <row r="200" spans="7:7" x14ac:dyDescent="0.25">
      <c r="G200" s="31"/>
    </row>
    <row r="201" spans="7:7" x14ac:dyDescent="0.25">
      <c r="G201" s="31"/>
    </row>
    <row r="202" spans="7:7" x14ac:dyDescent="0.25">
      <c r="G202" s="31"/>
    </row>
    <row r="203" spans="7:7" x14ac:dyDescent="0.25">
      <c r="G203" s="31"/>
    </row>
    <row r="204" spans="7:7" x14ac:dyDescent="0.25">
      <c r="G204" s="31"/>
    </row>
    <row r="205" spans="7:7" x14ac:dyDescent="0.25">
      <c r="G205" s="31"/>
    </row>
    <row r="206" spans="7:7" x14ac:dyDescent="0.25">
      <c r="G206" s="31"/>
    </row>
    <row r="207" spans="7:7" x14ac:dyDescent="0.25">
      <c r="G207" s="31"/>
    </row>
    <row r="208" spans="7:7" x14ac:dyDescent="0.25">
      <c r="G208" s="31"/>
    </row>
    <row r="209" spans="7:7" x14ac:dyDescent="0.25">
      <c r="G209" s="31"/>
    </row>
    <row r="210" spans="7:7" x14ac:dyDescent="0.25">
      <c r="G210" s="31"/>
    </row>
    <row r="211" spans="7:7" x14ac:dyDescent="0.25">
      <c r="G211" s="31"/>
    </row>
    <row r="212" spans="7:7" x14ac:dyDescent="0.25">
      <c r="G212" s="31"/>
    </row>
    <row r="213" spans="7:7" x14ac:dyDescent="0.25">
      <c r="G213" s="31"/>
    </row>
    <row r="214" spans="7:7" x14ac:dyDescent="0.25">
      <c r="G214" s="31"/>
    </row>
    <row r="215" spans="7:7" x14ac:dyDescent="0.25">
      <c r="G215" s="31"/>
    </row>
    <row r="216" spans="7:7" x14ac:dyDescent="0.25">
      <c r="G216" s="31"/>
    </row>
    <row r="217" spans="7:7" x14ac:dyDescent="0.25">
      <c r="G217" s="31"/>
    </row>
    <row r="218" spans="7:7" x14ac:dyDescent="0.25">
      <c r="G218" s="31"/>
    </row>
    <row r="219" spans="7:7" x14ac:dyDescent="0.25">
      <c r="G219" s="31"/>
    </row>
    <row r="220" spans="7:7" x14ac:dyDescent="0.25">
      <c r="G220" s="31"/>
    </row>
    <row r="221" spans="7:7" x14ac:dyDescent="0.25">
      <c r="G221" s="31"/>
    </row>
    <row r="222" spans="7:7" x14ac:dyDescent="0.25">
      <c r="G222" s="31"/>
    </row>
    <row r="223" spans="7:7" x14ac:dyDescent="0.25">
      <c r="G223" s="31"/>
    </row>
    <row r="224" spans="7:7" x14ac:dyDescent="0.25">
      <c r="G224" s="31"/>
    </row>
    <row r="225" spans="7:7" x14ac:dyDescent="0.25">
      <c r="G225" s="31"/>
    </row>
    <row r="226" spans="7:7" x14ac:dyDescent="0.25">
      <c r="G226" s="31"/>
    </row>
    <row r="227" spans="7:7" x14ac:dyDescent="0.25">
      <c r="G227" s="31"/>
    </row>
    <row r="228" spans="7:7" x14ac:dyDescent="0.25">
      <c r="G228" s="31"/>
    </row>
    <row r="229" spans="7:7" x14ac:dyDescent="0.25">
      <c r="G229" s="31"/>
    </row>
    <row r="230" spans="7:7" x14ac:dyDescent="0.25">
      <c r="G230" s="31"/>
    </row>
    <row r="231" spans="7:7" x14ac:dyDescent="0.25">
      <c r="G231" s="31"/>
    </row>
    <row r="232" spans="7:7" x14ac:dyDescent="0.25">
      <c r="G232" s="31"/>
    </row>
  </sheetData>
  <autoFilter ref="A1:AB76" xr:uid="{00000000-0001-0000-0000-000000000000}"/>
  <mergeCells count="24">
    <mergeCell ref="C101:D101"/>
    <mergeCell ref="C100:D100"/>
    <mergeCell ref="C93:D93"/>
    <mergeCell ref="C74:D74"/>
    <mergeCell ref="C78:D78"/>
    <mergeCell ref="C76:D76"/>
    <mergeCell ref="C82:D82"/>
    <mergeCell ref="C80:D80"/>
    <mergeCell ref="C88:D88"/>
    <mergeCell ref="C81:D81"/>
    <mergeCell ref="C44:D44"/>
    <mergeCell ref="C12:D12"/>
    <mergeCell ref="C75:D75"/>
    <mergeCell ref="C7:D7"/>
    <mergeCell ref="C23:D23"/>
    <mergeCell ref="C27:D27"/>
    <mergeCell ref="C68:D68"/>
    <mergeCell ref="C56:D56"/>
    <mergeCell ref="C63:D63"/>
    <mergeCell ref="C47:D47"/>
    <mergeCell ref="C50:D50"/>
    <mergeCell ref="C62:D62"/>
    <mergeCell ref="C60:D60"/>
    <mergeCell ref="C54:D54"/>
  </mergeCells>
  <phoneticPr fontId="8" type="noConversion"/>
  <hyperlinks>
    <hyperlink ref="AA13" r:id="rId1" location="variant_id=5116877-52945780439_x000a__x000a_" display="https://mkp.gem.gov.in/high-end-desktop-computer/dell-pro-tower-qct1250/p-5116877-52945780439-cat.html#variant_id=5116877-52945780439_x000a__x000a_" xr:uid="{00000000-0004-0000-0000-000000000000}"/>
    <hyperlink ref="AA4" r:id="rId2" location="variant_id=5116877-30580852800" display="https://mkp.gem.gov.in/entry-mid-level-desktop-computer/dell-dt/p-5116877-30580852800-cat.html#variant_id=5116877-30580852800" xr:uid="{00000000-0004-0000-0000-000001000000}"/>
    <hyperlink ref="AA8" r:id="rId3" location="variant_id=5116877-30580852800" display="https://mkp.gem.gov.in/entry-mid-level-desktop-computer/dell-dt/p-5116877-30580852800-cat.html#variant_id=5116877-30580852800" xr:uid="{00000000-0004-0000-0000-000002000000}"/>
    <hyperlink ref="AA14" r:id="rId4" location="variant_id=5116877-50132615929" xr:uid="{4184F2D3-C34C-42BB-BC82-9F2BC201BB61}"/>
    <hyperlink ref="AA22" r:id="rId5" location="variant_id=5116877-2646587537" display="https://mkp.gem.gov.in/video-conferencing-end-point/peoplelink-4k-impact-codec-1-8-4k-20x/p-5116877-2646587537-cat.html#variant_id=5116877-2646587537" xr:uid="{925C8546-556C-4639-A344-566B9B181D69}"/>
    <hyperlink ref="AA34" r:id="rId6" xr:uid="{12CE2340-6B17-4616-BF6D-1EF050DA8F8E}"/>
    <hyperlink ref="AA28" r:id="rId7" location="variant_id=5116877-12081650815" xr:uid="{331E5C59-A14E-41CB-98B7-F1DC4E4CA88F}"/>
    <hyperlink ref="AA29" r:id="rId8" location="variant_id=5116877-85397410323" xr:uid="{FDF69B70-129E-4AA8-A59C-19E480A35F97}"/>
    <hyperlink ref="AA30" r:id="rId9" location="variant_id=5116877-91592101388" xr:uid="{47E82A09-7005-4115-9374-C77C7900917E}"/>
    <hyperlink ref="AA35" r:id="rId10" location="variant_id=5116877-43007898741" xr:uid="{6D52741A-2461-4293-AC99-B9712DFE35CE}"/>
    <hyperlink ref="AA37" r:id="rId11" location="variant_id=5116877-44868898336" xr:uid="{51339530-DAC3-4733-B4F6-3B7F58FE4ECF}"/>
    <hyperlink ref="AA38" r:id="rId12" location="variant_id=5116877-62333223517" xr:uid="{8EB9A42B-6B9A-4AE8-9AC4-9CADD1265F39}"/>
    <hyperlink ref="AA43" r:id="rId13" location="variant_id=5116877-9003701012_x000a__x000a_" xr:uid="{2C5B8888-6894-4672-A5C6-D6EDF972C1FB}"/>
    <hyperlink ref="AA40" r:id="rId14" location="variant_id=5116877-33248410220" display="https://mkp.gem.gov.in/servers-v2/dell-emc-poweredge-r660xs/p-5116877-33248410220-cat.html#variant_id=5116877-33248410220" xr:uid="{8A132E16-A756-49FB-B227-284B9D525AFC}"/>
    <hyperlink ref="AA57" r:id="rId15" location="variant_id=5116877-12206515335" display="https://mkp.gem.gov.in/entry-mid-level-desktop-computer/hp-280-g9-mt-i5-12400-win11h-165125/p-5116877-12206515335-cat.html#variant_id=5116877-12206515335" xr:uid="{8FE89658-B2C0-4E9D-9A28-23E7972B01E0}"/>
    <hyperlink ref="AA73" r:id="rId16" xr:uid="{88176893-19BE-4587-89B8-39DAA51642A6}"/>
    <hyperlink ref="AA70" r:id="rId17" location="variant_id=5116877-65898027162" xr:uid="{B95DA68B-43A5-46E1-891E-CBFEFCAE8C28}"/>
    <hyperlink ref="AA69" r:id="rId18" location="variant_id=5116877-65898027162" xr:uid="{488374DD-805D-4326-BB3C-46D639934D05}"/>
    <hyperlink ref="AA71" r:id="rId19" location="variant_id=5116877-68017087922" xr:uid="{647E2BC4-3D5E-45F1-A2EC-8B39D17711AD}"/>
    <hyperlink ref="AA87" r:id="rId20" location="variant_id=5116877-14076018409" xr:uid="{DAA7D803-FBC5-4D99-B30C-712659E343C2}"/>
    <hyperlink ref="AA95" r:id="rId21" location="variant_id=5116877-30580852800" xr:uid="{56907050-FBA7-4FFB-8409-34FCEF005879}"/>
    <hyperlink ref="AA92" r:id="rId22" location="variant_id=5116877-58386864218" xr:uid="{22ABBBDC-A8E2-4272-8A40-EB4A9CFEF31A}"/>
    <hyperlink ref="AA90" r:id="rId23" location="variant_id=5116877-96888718208" display="https://mkp.gem.gov.in/network-attached-storage-v2/inova-10000-series-with-64gb-ram/p-5116877-96888718208-cat.html#variant_id=5116877-96888718208" xr:uid="{E88B6811-1F90-44CE-B2A1-B2895C6DDEBD}"/>
  </hyperlinks>
  <pageMargins left="0.7" right="0.7" top="0.75" bottom="0.75" header="0.3" footer="0.3"/>
  <pageSetup orientation="portrait" r:id="rId2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4"/>
  <sheetViews>
    <sheetView workbookViewId="0">
      <pane ySplit="1" topLeftCell="A35" activePane="bottomLeft" state="frozen"/>
      <selection pane="bottomLeft" activeCell="G44" sqref="G44"/>
    </sheetView>
  </sheetViews>
  <sheetFormatPr defaultRowHeight="15" x14ac:dyDescent="0.25"/>
  <cols>
    <col min="1" max="1" width="5.7109375" bestFit="1" customWidth="1"/>
    <col min="2" max="2" width="24.140625" bestFit="1" customWidth="1"/>
    <col min="4" max="4" width="16.5703125" bestFit="1" customWidth="1"/>
    <col min="5" max="5" width="10.42578125" bestFit="1" customWidth="1"/>
    <col min="7" max="7" width="63.85546875" customWidth="1"/>
    <col min="8" max="8" width="71.7109375" customWidth="1"/>
    <col min="11" max="11" width="11.42578125" customWidth="1"/>
    <col min="12" max="12" width="29.28515625" customWidth="1"/>
    <col min="13" max="13" width="14.42578125" customWidth="1"/>
    <col min="14" max="14" width="16.7109375" customWidth="1"/>
    <col min="15" max="15" width="15.85546875" customWidth="1"/>
    <col min="16" max="16" width="18.42578125" customWidth="1"/>
    <col min="17" max="17" width="11.7109375" customWidth="1"/>
    <col min="18" max="18" width="18.140625" customWidth="1"/>
    <col min="19" max="19" width="61.7109375" customWidth="1"/>
  </cols>
  <sheetData>
    <row r="1" spans="1:20" ht="18.75" customHeight="1" x14ac:dyDescent="0.25">
      <c r="A1" s="57" t="s">
        <v>0</v>
      </c>
      <c r="B1" s="57" t="s">
        <v>1</v>
      </c>
      <c r="C1" s="57" t="s">
        <v>2</v>
      </c>
      <c r="D1" s="57" t="s">
        <v>3</v>
      </c>
      <c r="E1" s="58" t="s">
        <v>4</v>
      </c>
      <c r="F1" s="59" t="s">
        <v>5</v>
      </c>
      <c r="G1" s="57" t="s">
        <v>6</v>
      </c>
      <c r="H1" s="57" t="s">
        <v>7</v>
      </c>
      <c r="I1" s="57" t="s">
        <v>8</v>
      </c>
      <c r="J1" s="60" t="s">
        <v>9</v>
      </c>
      <c r="K1" s="60" t="s">
        <v>38</v>
      </c>
      <c r="L1" s="57" t="s">
        <v>10</v>
      </c>
      <c r="M1" s="57" t="s">
        <v>39</v>
      </c>
      <c r="N1" s="57" t="s">
        <v>40</v>
      </c>
      <c r="O1" s="61" t="s">
        <v>41</v>
      </c>
      <c r="P1" s="61" t="s">
        <v>42</v>
      </c>
      <c r="Q1" s="61" t="s">
        <v>43</v>
      </c>
      <c r="R1" s="61" t="s">
        <v>44</v>
      </c>
      <c r="S1" s="62"/>
    </row>
    <row r="2" spans="1:20" ht="27" customHeight="1" x14ac:dyDescent="0.25">
      <c r="A2" s="11">
        <v>1</v>
      </c>
      <c r="B2" s="25" t="s">
        <v>45</v>
      </c>
      <c r="C2" s="11" t="s">
        <v>19</v>
      </c>
      <c r="D2" s="11" t="s">
        <v>22</v>
      </c>
      <c r="E2" s="63">
        <v>46118</v>
      </c>
      <c r="F2" s="14">
        <v>0.625</v>
      </c>
      <c r="G2" s="16" t="s">
        <v>46</v>
      </c>
      <c r="H2" s="16" t="s">
        <v>47</v>
      </c>
      <c r="I2" s="11">
        <v>13</v>
      </c>
      <c r="J2" s="36" t="s">
        <v>48</v>
      </c>
      <c r="K2" s="64"/>
      <c r="L2" s="64"/>
      <c r="M2" s="64"/>
      <c r="N2" s="64"/>
      <c r="O2" s="64"/>
      <c r="P2" s="64"/>
      <c r="Q2" s="64"/>
      <c r="R2" s="64"/>
      <c r="S2" s="64"/>
      <c r="T2" s="1"/>
    </row>
    <row r="3" spans="1:20" ht="51" customHeight="1" x14ac:dyDescent="0.25">
      <c r="A3" s="11">
        <v>2</v>
      </c>
      <c r="B3" s="16" t="s">
        <v>49</v>
      </c>
      <c r="C3" s="11" t="s">
        <v>19</v>
      </c>
      <c r="D3" s="11" t="s">
        <v>22</v>
      </c>
      <c r="E3" s="63">
        <v>46121</v>
      </c>
      <c r="F3" s="14">
        <v>0.5</v>
      </c>
      <c r="G3" s="25" t="s">
        <v>50</v>
      </c>
      <c r="H3" s="24" t="s">
        <v>51</v>
      </c>
      <c r="I3" s="11">
        <v>30</v>
      </c>
      <c r="J3" s="35" t="s">
        <v>52</v>
      </c>
      <c r="K3" s="64"/>
      <c r="L3" s="64"/>
      <c r="M3" s="64"/>
      <c r="N3" s="64"/>
      <c r="O3" s="64"/>
      <c r="P3" s="64"/>
      <c r="Q3" s="64"/>
      <c r="R3" s="64"/>
      <c r="S3" s="64"/>
      <c r="T3" s="1"/>
    </row>
    <row r="4" spans="1:20" ht="165" x14ac:dyDescent="0.25">
      <c r="A4" s="11">
        <v>3</v>
      </c>
      <c r="B4" s="16" t="s">
        <v>105</v>
      </c>
      <c r="C4" s="11" t="s">
        <v>19</v>
      </c>
      <c r="D4" s="11" t="s">
        <v>22</v>
      </c>
      <c r="E4" s="63">
        <v>46122</v>
      </c>
      <c r="F4" s="14">
        <v>0.54166666666666696</v>
      </c>
      <c r="G4" s="25" t="s">
        <v>106</v>
      </c>
      <c r="H4" s="24" t="s">
        <v>107</v>
      </c>
      <c r="I4" s="11">
        <v>6</v>
      </c>
      <c r="J4" s="11" t="s">
        <v>73</v>
      </c>
      <c r="K4" s="64"/>
      <c r="L4" s="64"/>
      <c r="M4" s="64"/>
      <c r="N4" s="64"/>
      <c r="O4" s="64"/>
      <c r="P4" s="64"/>
      <c r="Q4" s="64"/>
      <c r="R4" s="64"/>
      <c r="S4" s="65" t="s">
        <v>112</v>
      </c>
      <c r="T4" s="1"/>
    </row>
    <row r="5" spans="1:20" ht="180" x14ac:dyDescent="0.25">
      <c r="A5" s="11">
        <v>4</v>
      </c>
      <c r="B5" s="25" t="s">
        <v>76</v>
      </c>
      <c r="C5" s="11" t="s">
        <v>19</v>
      </c>
      <c r="D5" s="11" t="s">
        <v>22</v>
      </c>
      <c r="E5" s="63">
        <v>46126</v>
      </c>
      <c r="F5" s="14">
        <v>0.79166666666666663</v>
      </c>
      <c r="G5" s="24" t="s">
        <v>78</v>
      </c>
      <c r="H5" s="24" t="s">
        <v>77</v>
      </c>
      <c r="I5" s="11">
        <v>9</v>
      </c>
      <c r="J5" s="11" t="s">
        <v>73</v>
      </c>
      <c r="K5" s="64"/>
      <c r="L5" s="35" t="s">
        <v>82</v>
      </c>
      <c r="M5" s="64"/>
      <c r="N5" s="64"/>
      <c r="O5" s="64"/>
      <c r="P5" s="64"/>
      <c r="Q5" s="64"/>
      <c r="R5" s="64"/>
      <c r="S5" s="66" t="s">
        <v>135</v>
      </c>
      <c r="T5" s="1"/>
    </row>
    <row r="6" spans="1:20" ht="30" x14ac:dyDescent="0.25">
      <c r="A6" s="11">
        <v>5</v>
      </c>
      <c r="B6" s="24" t="s">
        <v>108</v>
      </c>
      <c r="C6" s="98" t="s">
        <v>109</v>
      </c>
      <c r="D6" s="98"/>
      <c r="E6" s="63">
        <v>46134</v>
      </c>
      <c r="F6" s="14">
        <v>0.625</v>
      </c>
      <c r="G6" s="25" t="s">
        <v>110</v>
      </c>
      <c r="H6" s="24" t="s">
        <v>111</v>
      </c>
      <c r="I6" s="11">
        <v>3</v>
      </c>
      <c r="J6" s="11">
        <v>50000</v>
      </c>
      <c r="K6" s="11">
        <v>2950</v>
      </c>
      <c r="L6" s="64"/>
      <c r="M6" s="64"/>
      <c r="N6" s="64"/>
      <c r="O6" s="64"/>
      <c r="P6" s="64"/>
      <c r="Q6" s="64"/>
      <c r="R6" s="64"/>
      <c r="S6" s="64"/>
      <c r="T6" s="1"/>
    </row>
    <row r="7" spans="1:20" ht="30" x14ac:dyDescent="0.25">
      <c r="A7" s="11">
        <v>6</v>
      </c>
      <c r="B7" s="25" t="s">
        <v>136</v>
      </c>
      <c r="C7" s="25" t="s">
        <v>19</v>
      </c>
      <c r="D7" s="11" t="s">
        <v>139</v>
      </c>
      <c r="E7" s="63">
        <v>46136</v>
      </c>
      <c r="F7" s="14">
        <v>0.79166666666666663</v>
      </c>
      <c r="G7" s="25" t="s">
        <v>138</v>
      </c>
      <c r="H7" s="24" t="s">
        <v>137</v>
      </c>
      <c r="I7" s="11">
        <v>1</v>
      </c>
      <c r="J7" s="11" t="s">
        <v>73</v>
      </c>
      <c r="K7" s="11" t="s">
        <v>73</v>
      </c>
      <c r="L7" s="64"/>
      <c r="M7" s="64"/>
      <c r="N7" s="64"/>
      <c r="O7" s="64"/>
      <c r="P7" s="64"/>
      <c r="Q7" s="64"/>
      <c r="R7" s="64"/>
      <c r="S7" s="65" t="s">
        <v>140</v>
      </c>
      <c r="T7" s="1"/>
    </row>
    <row r="8" spans="1:20" ht="167.25" customHeight="1" x14ac:dyDescent="0.25">
      <c r="A8" s="11">
        <v>7</v>
      </c>
      <c r="B8" s="25" t="s">
        <v>141</v>
      </c>
      <c r="C8" s="25" t="s">
        <v>19</v>
      </c>
      <c r="D8" s="11" t="s">
        <v>139</v>
      </c>
      <c r="E8" s="63">
        <v>46136</v>
      </c>
      <c r="F8" s="14">
        <v>0.79166666666666663</v>
      </c>
      <c r="G8" s="25" t="s">
        <v>138</v>
      </c>
      <c r="H8" s="24" t="s">
        <v>142</v>
      </c>
      <c r="I8" s="11">
        <v>36</v>
      </c>
      <c r="J8" s="11">
        <v>21000</v>
      </c>
      <c r="K8" s="11" t="s">
        <v>73</v>
      </c>
      <c r="L8" s="64"/>
      <c r="M8" s="64"/>
      <c r="N8" s="64"/>
      <c r="O8" s="64"/>
      <c r="P8" s="64"/>
      <c r="Q8" s="64"/>
      <c r="R8" s="64"/>
      <c r="S8" s="67" t="s">
        <v>174</v>
      </c>
      <c r="T8" s="1"/>
    </row>
    <row r="9" spans="1:20" ht="45" x14ac:dyDescent="0.25">
      <c r="A9" s="11">
        <v>8</v>
      </c>
      <c r="B9" s="25" t="s">
        <v>175</v>
      </c>
      <c r="C9" s="11" t="s">
        <v>19</v>
      </c>
      <c r="D9" s="11" t="s">
        <v>139</v>
      </c>
      <c r="E9" s="63">
        <v>46146</v>
      </c>
      <c r="F9" s="14">
        <v>0.54166666666666663</v>
      </c>
      <c r="G9" s="24" t="s">
        <v>176</v>
      </c>
      <c r="H9" s="24" t="s">
        <v>119</v>
      </c>
      <c r="I9" s="11">
        <v>3</v>
      </c>
      <c r="J9" s="11" t="s">
        <v>73</v>
      </c>
      <c r="K9" s="11" t="s">
        <v>73</v>
      </c>
      <c r="L9" s="64"/>
      <c r="M9" s="64"/>
      <c r="N9" s="64"/>
      <c r="O9" s="64"/>
      <c r="P9" s="64"/>
      <c r="Q9" s="64"/>
      <c r="R9" s="64"/>
      <c r="S9" s="64"/>
      <c r="T9" s="1"/>
    </row>
    <row r="10" spans="1:20" x14ac:dyDescent="0.25">
      <c r="A10" s="11">
        <v>9</v>
      </c>
      <c r="B10" s="25" t="s">
        <v>164</v>
      </c>
      <c r="C10" s="101" t="s">
        <v>165</v>
      </c>
      <c r="D10" s="101"/>
      <c r="E10" s="63">
        <v>46148</v>
      </c>
      <c r="F10" s="14">
        <v>0.625</v>
      </c>
      <c r="G10" s="25" t="s">
        <v>166</v>
      </c>
      <c r="H10" s="24" t="s">
        <v>167</v>
      </c>
      <c r="I10" s="11">
        <v>4</v>
      </c>
      <c r="J10" s="64">
        <v>50000</v>
      </c>
      <c r="K10" s="28">
        <v>500</v>
      </c>
      <c r="L10" s="64"/>
      <c r="M10" s="64"/>
      <c r="N10" s="64"/>
      <c r="O10" s="64"/>
      <c r="P10" s="64"/>
      <c r="Q10" s="64"/>
      <c r="R10" s="64"/>
      <c r="S10" s="64"/>
      <c r="T10" s="1"/>
    </row>
    <row r="11" spans="1:20" ht="30" x14ac:dyDescent="0.25">
      <c r="A11" s="11">
        <v>10</v>
      </c>
      <c r="B11" s="25" t="s">
        <v>180</v>
      </c>
      <c r="C11" s="98" t="s">
        <v>182</v>
      </c>
      <c r="D11" s="98"/>
      <c r="E11" s="63">
        <v>46156</v>
      </c>
      <c r="F11" s="14">
        <v>0.625</v>
      </c>
      <c r="G11" s="25" t="s">
        <v>183</v>
      </c>
      <c r="H11" s="25" t="s">
        <v>181</v>
      </c>
      <c r="I11" s="64"/>
      <c r="J11" s="11">
        <v>105849</v>
      </c>
      <c r="K11" s="36" t="s">
        <v>184</v>
      </c>
      <c r="L11" s="64"/>
      <c r="M11" s="1"/>
      <c r="N11" s="1"/>
      <c r="O11" s="1"/>
      <c r="P11" s="1"/>
      <c r="Q11" s="1"/>
      <c r="R11" s="1"/>
      <c r="S11" s="1"/>
      <c r="T11" s="1"/>
    </row>
    <row r="12" spans="1:20" ht="165" x14ac:dyDescent="0.25">
      <c r="A12" s="11">
        <v>11</v>
      </c>
      <c r="B12" s="25" t="s">
        <v>211</v>
      </c>
      <c r="C12" s="25" t="s">
        <v>19</v>
      </c>
      <c r="D12" s="11" t="s">
        <v>22</v>
      </c>
      <c r="E12" s="63">
        <v>46163</v>
      </c>
      <c r="F12" s="14">
        <v>0.75</v>
      </c>
      <c r="G12" s="25" t="s">
        <v>212</v>
      </c>
      <c r="H12" s="24" t="s">
        <v>216</v>
      </c>
      <c r="I12" s="11">
        <v>8</v>
      </c>
      <c r="J12" s="11" t="s">
        <v>73</v>
      </c>
      <c r="K12" s="11" t="s">
        <v>73</v>
      </c>
      <c r="L12" s="64"/>
      <c r="M12" s="64"/>
      <c r="N12" s="64"/>
      <c r="O12" s="64"/>
      <c r="P12" s="64"/>
      <c r="Q12" s="64"/>
      <c r="R12" s="1"/>
      <c r="S12" s="70" t="s">
        <v>229</v>
      </c>
      <c r="T12" s="1"/>
    </row>
    <row r="13" spans="1:20" ht="165" x14ac:dyDescent="0.25">
      <c r="A13" s="11">
        <v>12</v>
      </c>
      <c r="B13" s="25" t="s">
        <v>213</v>
      </c>
      <c r="C13" s="25" t="s">
        <v>19</v>
      </c>
      <c r="D13" s="11" t="s">
        <v>22</v>
      </c>
      <c r="E13" s="63">
        <v>46163</v>
      </c>
      <c r="F13" s="14">
        <v>0.625</v>
      </c>
      <c r="G13" s="25" t="s">
        <v>214</v>
      </c>
      <c r="H13" s="24" t="s">
        <v>215</v>
      </c>
      <c r="I13" s="11">
        <v>17</v>
      </c>
      <c r="J13" s="11" t="s">
        <v>73</v>
      </c>
      <c r="K13" s="54">
        <v>12000</v>
      </c>
      <c r="L13" s="64"/>
      <c r="M13" s="64"/>
      <c r="N13" s="64"/>
      <c r="O13" s="64"/>
      <c r="P13" s="64"/>
      <c r="Q13" s="64"/>
      <c r="R13" s="1"/>
      <c r="S13" s="71" t="s">
        <v>241</v>
      </c>
      <c r="T13" s="1"/>
    </row>
    <row r="14" spans="1:20" ht="105" x14ac:dyDescent="0.25">
      <c r="A14" s="11">
        <v>13</v>
      </c>
      <c r="B14" s="74" t="s">
        <v>250</v>
      </c>
      <c r="C14" s="25" t="s">
        <v>19</v>
      </c>
      <c r="D14" s="11" t="s">
        <v>173</v>
      </c>
      <c r="E14" s="63">
        <v>46179</v>
      </c>
      <c r="F14" s="14">
        <v>0.54166666666666696</v>
      </c>
      <c r="G14" s="25" t="s">
        <v>252</v>
      </c>
      <c r="H14" s="24" t="s">
        <v>251</v>
      </c>
      <c r="I14" s="11">
        <v>180</v>
      </c>
      <c r="J14" s="1"/>
      <c r="K14" s="1"/>
      <c r="L14" s="1"/>
      <c r="M14" s="1"/>
      <c r="N14" s="1"/>
      <c r="O14" s="1"/>
      <c r="P14" s="1"/>
      <c r="Q14" s="1"/>
      <c r="R14" s="1"/>
      <c r="S14" s="73" t="s">
        <v>260</v>
      </c>
      <c r="T14" s="1"/>
    </row>
    <row r="15" spans="1:20" ht="105" x14ac:dyDescent="0.25">
      <c r="A15" s="11">
        <v>14</v>
      </c>
      <c r="B15" s="75" t="s">
        <v>261</v>
      </c>
      <c r="C15" s="25" t="s">
        <v>19</v>
      </c>
      <c r="D15" s="11" t="s">
        <v>22</v>
      </c>
      <c r="E15" s="63">
        <v>46179</v>
      </c>
      <c r="F15" s="14">
        <v>0.54166666666666696</v>
      </c>
      <c r="G15" s="24" t="s">
        <v>262</v>
      </c>
      <c r="H15" s="70" t="s">
        <v>27</v>
      </c>
      <c r="I15" s="11">
        <v>20</v>
      </c>
      <c r="J15" s="76">
        <v>15000</v>
      </c>
      <c r="K15" s="76" t="s">
        <v>73</v>
      </c>
      <c r="L15" s="1"/>
      <c r="M15" s="1"/>
      <c r="N15" s="1"/>
      <c r="O15" s="1"/>
      <c r="P15" s="1"/>
      <c r="Q15" s="1"/>
      <c r="R15" s="1"/>
      <c r="S15" s="73" t="s">
        <v>263</v>
      </c>
      <c r="T15" s="1"/>
    </row>
    <row r="16" spans="1:20" ht="165" x14ac:dyDescent="0.25">
      <c r="A16" s="11">
        <v>15</v>
      </c>
      <c r="B16" s="25" t="s">
        <v>247</v>
      </c>
      <c r="C16" s="25" t="s">
        <v>19</v>
      </c>
      <c r="D16" s="11" t="s">
        <v>22</v>
      </c>
      <c r="E16" s="63">
        <v>46182</v>
      </c>
      <c r="F16" s="14">
        <v>0.5</v>
      </c>
      <c r="G16" s="25" t="s">
        <v>249</v>
      </c>
      <c r="H16" s="70" t="s">
        <v>248</v>
      </c>
      <c r="I16" s="11">
        <v>93</v>
      </c>
      <c r="J16" s="1"/>
      <c r="K16" s="1"/>
      <c r="L16" s="1"/>
      <c r="M16" s="1"/>
      <c r="N16" s="1"/>
      <c r="O16" s="1"/>
      <c r="P16" s="1"/>
      <c r="Q16" s="1"/>
      <c r="R16" s="1"/>
      <c r="S16" s="73" t="s">
        <v>259</v>
      </c>
      <c r="T16" s="1"/>
    </row>
    <row r="17" spans="1:20" ht="45" x14ac:dyDescent="0.25">
      <c r="A17" s="11">
        <v>16</v>
      </c>
      <c r="B17" s="25" t="s">
        <v>271</v>
      </c>
      <c r="C17" s="25" t="s">
        <v>19</v>
      </c>
      <c r="D17" s="11" t="s">
        <v>22</v>
      </c>
      <c r="E17" s="63">
        <v>46188</v>
      </c>
      <c r="F17" s="14">
        <v>0.83333333333333337</v>
      </c>
      <c r="G17" s="25" t="s">
        <v>272</v>
      </c>
      <c r="H17" s="27" t="s">
        <v>273</v>
      </c>
      <c r="I17" s="11">
        <v>18</v>
      </c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1"/>
    </row>
    <row r="18" spans="1:20" ht="45" x14ac:dyDescent="0.25">
      <c r="A18" s="11">
        <v>17</v>
      </c>
      <c r="B18" s="25" t="s">
        <v>298</v>
      </c>
      <c r="C18" s="25" t="s">
        <v>19</v>
      </c>
      <c r="D18" s="11" t="s">
        <v>22</v>
      </c>
      <c r="E18" s="63">
        <v>46198</v>
      </c>
      <c r="F18" s="14">
        <v>0.625</v>
      </c>
      <c r="G18" s="24" t="s">
        <v>299</v>
      </c>
      <c r="H18" s="27" t="s">
        <v>119</v>
      </c>
      <c r="I18" s="11">
        <v>45</v>
      </c>
      <c r="J18" s="11">
        <v>45000</v>
      </c>
      <c r="K18" s="64"/>
      <c r="L18" s="64"/>
      <c r="M18" s="64"/>
      <c r="N18" s="64"/>
      <c r="O18" s="64"/>
      <c r="P18" s="64"/>
      <c r="Q18" s="64"/>
      <c r="R18" s="64"/>
      <c r="S18" s="64"/>
      <c r="T18" s="64"/>
    </row>
    <row r="19" spans="1:20" x14ac:dyDescent="0.25">
      <c r="A19" s="11">
        <v>18</v>
      </c>
      <c r="B19" s="25" t="s">
        <v>328</v>
      </c>
      <c r="C19" s="25" t="s">
        <v>19</v>
      </c>
      <c r="D19" s="11" t="s">
        <v>57</v>
      </c>
      <c r="E19" s="63">
        <v>46202</v>
      </c>
      <c r="F19" s="14">
        <v>0.70833333333333337</v>
      </c>
      <c r="G19" s="25" t="s">
        <v>329</v>
      </c>
      <c r="H19" s="1" t="s">
        <v>330</v>
      </c>
      <c r="I19" s="11">
        <v>2</v>
      </c>
      <c r="J19" s="80" t="s">
        <v>73</v>
      </c>
      <c r="K19" s="80" t="s">
        <v>73</v>
      </c>
      <c r="L19" s="1"/>
      <c r="M19" s="1"/>
      <c r="N19" s="1"/>
      <c r="O19" s="1"/>
      <c r="P19" s="1"/>
      <c r="Q19" s="1"/>
      <c r="R19" s="1"/>
      <c r="S19" s="1"/>
      <c r="T19" s="1"/>
    </row>
    <row r="20" spans="1:20" ht="165" x14ac:dyDescent="0.25">
      <c r="A20" s="11">
        <v>19</v>
      </c>
      <c r="B20" s="25" t="s">
        <v>352</v>
      </c>
      <c r="C20" s="25" t="s">
        <v>19</v>
      </c>
      <c r="D20" s="11" t="s">
        <v>22</v>
      </c>
      <c r="E20" s="23">
        <v>46205</v>
      </c>
      <c r="F20" s="14">
        <v>0.54166666666666663</v>
      </c>
      <c r="G20" s="16" t="s">
        <v>351</v>
      </c>
      <c r="H20" s="70" t="s">
        <v>119</v>
      </c>
      <c r="I20" s="11">
        <v>14</v>
      </c>
      <c r="J20" s="76" t="s">
        <v>73</v>
      </c>
      <c r="K20" s="76" t="s">
        <v>73</v>
      </c>
      <c r="L20" s="1"/>
      <c r="M20" s="1"/>
      <c r="N20" s="1"/>
      <c r="O20" s="1"/>
      <c r="P20" s="1"/>
      <c r="Q20" s="1"/>
      <c r="R20" s="1"/>
      <c r="S20" s="81" t="s">
        <v>350</v>
      </c>
      <c r="T20" s="1"/>
    </row>
    <row r="21" spans="1:20" ht="90" x14ac:dyDescent="0.25">
      <c r="A21" s="11">
        <v>20</v>
      </c>
      <c r="B21" s="74" t="s">
        <v>340</v>
      </c>
      <c r="C21" s="25" t="s">
        <v>19</v>
      </c>
      <c r="D21" s="11" t="s">
        <v>57</v>
      </c>
      <c r="E21" s="63">
        <v>46207</v>
      </c>
      <c r="F21" s="14">
        <v>0.75</v>
      </c>
      <c r="G21" s="25" t="s">
        <v>341</v>
      </c>
      <c r="H21" s="74" t="s">
        <v>137</v>
      </c>
      <c r="I21" s="11">
        <v>10</v>
      </c>
      <c r="J21" s="76" t="s">
        <v>73</v>
      </c>
      <c r="K21" s="1"/>
      <c r="L21" s="1"/>
      <c r="M21" s="1"/>
      <c r="N21" s="1"/>
      <c r="O21" s="1"/>
      <c r="P21" s="1"/>
      <c r="Q21" s="1"/>
      <c r="R21" s="1"/>
      <c r="S21" s="73" t="s">
        <v>368</v>
      </c>
      <c r="T21" s="1"/>
    </row>
    <row r="22" spans="1:20" ht="30" x14ac:dyDescent="0.25">
      <c r="A22" s="11">
        <v>21</v>
      </c>
      <c r="B22" s="25" t="s">
        <v>355</v>
      </c>
      <c r="C22" s="25" t="s">
        <v>19</v>
      </c>
      <c r="D22" s="11" t="s">
        <v>57</v>
      </c>
      <c r="E22" s="63">
        <v>46213</v>
      </c>
      <c r="F22" s="14">
        <v>0.75</v>
      </c>
      <c r="G22" s="25" t="s">
        <v>356</v>
      </c>
      <c r="H22" s="27" t="s">
        <v>24</v>
      </c>
      <c r="I22" s="11">
        <v>2</v>
      </c>
      <c r="J22" s="76" t="s">
        <v>73</v>
      </c>
      <c r="K22" s="76" t="s">
        <v>73</v>
      </c>
      <c r="L22" s="1"/>
      <c r="M22" s="1"/>
      <c r="N22" s="1"/>
      <c r="O22" s="1"/>
      <c r="P22" s="1"/>
      <c r="Q22" s="1"/>
      <c r="R22" s="1"/>
      <c r="S22" s="1"/>
      <c r="T22" s="1"/>
    </row>
    <row r="23" spans="1:20" ht="60" x14ac:dyDescent="0.25">
      <c r="A23" s="11">
        <v>22</v>
      </c>
      <c r="B23" s="25" t="s">
        <v>373</v>
      </c>
      <c r="C23" s="25" t="s">
        <v>19</v>
      </c>
      <c r="D23" s="11" t="s">
        <v>22</v>
      </c>
      <c r="E23" s="63">
        <v>46221</v>
      </c>
      <c r="F23" s="14">
        <v>0.75</v>
      </c>
      <c r="G23" s="25" t="s">
        <v>375</v>
      </c>
      <c r="H23" s="24" t="s">
        <v>374</v>
      </c>
      <c r="I23" s="11">
        <v>1</v>
      </c>
      <c r="J23" s="76">
        <v>20000</v>
      </c>
      <c r="K23" s="76"/>
      <c r="L23" s="1"/>
      <c r="M23" s="1"/>
      <c r="N23" s="1"/>
      <c r="O23" s="1"/>
      <c r="P23" s="1"/>
      <c r="Q23" s="1"/>
      <c r="R23" s="1"/>
      <c r="S23" s="73" t="s">
        <v>372</v>
      </c>
      <c r="T23" s="1"/>
    </row>
    <row r="24" spans="1:20" x14ac:dyDescent="0.25">
      <c r="A24" s="11">
        <v>23</v>
      </c>
      <c r="B24" s="25" t="s">
        <v>367</v>
      </c>
      <c r="C24" s="25" t="s">
        <v>19</v>
      </c>
      <c r="D24" s="11" t="s">
        <v>57</v>
      </c>
      <c r="E24" s="63">
        <v>46223</v>
      </c>
      <c r="F24" s="14">
        <v>0.70833333333333337</v>
      </c>
      <c r="G24" s="25" t="s">
        <v>341</v>
      </c>
      <c r="H24" s="64" t="s">
        <v>137</v>
      </c>
      <c r="I24" s="11">
        <v>10</v>
      </c>
      <c r="J24" s="76" t="s">
        <v>73</v>
      </c>
      <c r="K24" s="76" t="s">
        <v>73</v>
      </c>
      <c r="L24" s="1"/>
      <c r="M24" s="1"/>
      <c r="N24" s="1"/>
      <c r="O24" s="1"/>
      <c r="P24" s="1"/>
      <c r="Q24" s="1"/>
      <c r="R24" s="1"/>
      <c r="S24" s="1"/>
      <c r="T24" s="1"/>
    </row>
    <row r="25" spans="1:20" ht="135" x14ac:dyDescent="0.25">
      <c r="A25" s="11">
        <v>24</v>
      </c>
      <c r="B25" s="25" t="s">
        <v>383</v>
      </c>
      <c r="C25" s="25" t="s">
        <v>19</v>
      </c>
      <c r="D25" s="11" t="s">
        <v>22</v>
      </c>
      <c r="E25" s="63">
        <v>46233</v>
      </c>
      <c r="F25" s="14">
        <v>0.66666666666666663</v>
      </c>
      <c r="G25" s="25" t="s">
        <v>351</v>
      </c>
      <c r="H25" s="24" t="s">
        <v>384</v>
      </c>
      <c r="I25" s="76">
        <v>11</v>
      </c>
      <c r="J25" s="76" t="s">
        <v>73</v>
      </c>
      <c r="K25" s="76" t="s">
        <v>73</v>
      </c>
      <c r="L25" s="1"/>
      <c r="M25" s="1"/>
      <c r="N25" s="1"/>
      <c r="O25" s="1"/>
      <c r="P25" s="1"/>
      <c r="Q25" s="1"/>
      <c r="R25" s="1"/>
      <c r="S25" s="81" t="s">
        <v>387</v>
      </c>
      <c r="T25" s="1"/>
    </row>
    <row r="26" spans="1:20" ht="45" x14ac:dyDescent="0.25">
      <c r="A26" s="11">
        <v>25</v>
      </c>
      <c r="B26" s="25" t="s">
        <v>402</v>
      </c>
      <c r="C26" s="25" t="s">
        <v>19</v>
      </c>
      <c r="D26" s="11" t="s">
        <v>22</v>
      </c>
      <c r="E26" s="63">
        <v>46234</v>
      </c>
      <c r="F26" s="14">
        <v>0.5</v>
      </c>
      <c r="G26" s="25" t="s">
        <v>403</v>
      </c>
      <c r="H26" s="24" t="s">
        <v>199</v>
      </c>
      <c r="I26" s="76">
        <v>139</v>
      </c>
      <c r="J26" s="86" t="s">
        <v>405</v>
      </c>
      <c r="K26" s="76"/>
      <c r="L26" s="1"/>
      <c r="M26" s="1"/>
      <c r="N26" s="1"/>
      <c r="O26" s="1"/>
      <c r="P26" s="1"/>
      <c r="Q26" s="1"/>
      <c r="R26" s="1"/>
      <c r="S26" s="73" t="s">
        <v>404</v>
      </c>
      <c r="T26" s="1"/>
    </row>
    <row r="27" spans="1:20" x14ac:dyDescent="0.25">
      <c r="A27" s="11">
        <v>26</v>
      </c>
      <c r="B27" s="25" t="s">
        <v>406</v>
      </c>
      <c r="C27" s="25" t="s">
        <v>19</v>
      </c>
      <c r="D27" s="11" t="s">
        <v>57</v>
      </c>
      <c r="E27" s="63">
        <v>46237</v>
      </c>
      <c r="F27" s="14">
        <v>0.75</v>
      </c>
      <c r="G27" s="25" t="s">
        <v>407</v>
      </c>
      <c r="H27" s="24" t="s">
        <v>408</v>
      </c>
      <c r="I27" s="76">
        <v>1</v>
      </c>
      <c r="J27" s="89">
        <v>0.03</v>
      </c>
      <c r="K27" s="76" t="s">
        <v>256</v>
      </c>
      <c r="L27" s="1"/>
      <c r="M27" s="1"/>
      <c r="N27" s="1"/>
      <c r="O27" s="1"/>
      <c r="P27" s="1"/>
      <c r="Q27" s="1"/>
      <c r="R27" s="1"/>
      <c r="S27" s="73"/>
      <c r="T27" s="1"/>
    </row>
    <row r="28" spans="1:20" ht="16.5" customHeight="1" x14ac:dyDescent="0.25">
      <c r="A28" s="11">
        <v>27</v>
      </c>
      <c r="B28" s="91" t="s">
        <v>409</v>
      </c>
      <c r="C28" s="102" t="s">
        <v>165</v>
      </c>
      <c r="D28" s="103"/>
      <c r="E28" s="92">
        <v>46238</v>
      </c>
      <c r="F28" s="93">
        <v>0.66666666666666663</v>
      </c>
      <c r="G28" s="91" t="s">
        <v>407</v>
      </c>
      <c r="H28" s="90" t="s">
        <v>410</v>
      </c>
      <c r="I28" s="76">
        <v>101</v>
      </c>
      <c r="J28" s="76">
        <v>12000</v>
      </c>
      <c r="K28" s="76"/>
      <c r="L28" s="1"/>
      <c r="M28" s="1"/>
      <c r="N28" s="1"/>
      <c r="O28" s="1"/>
      <c r="P28" s="1"/>
      <c r="Q28" s="1"/>
      <c r="R28" s="1"/>
      <c r="S28" s="81"/>
      <c r="T28" s="1"/>
    </row>
    <row r="29" spans="1:20" ht="240" x14ac:dyDescent="0.25">
      <c r="A29" s="11">
        <v>28</v>
      </c>
      <c r="B29" s="25" t="s">
        <v>399</v>
      </c>
      <c r="C29" s="25" t="s">
        <v>19</v>
      </c>
      <c r="D29" s="11" t="s">
        <v>57</v>
      </c>
      <c r="E29" s="63">
        <v>46241</v>
      </c>
      <c r="F29" s="14">
        <v>0.375</v>
      </c>
      <c r="G29" s="25" t="s">
        <v>400</v>
      </c>
      <c r="H29" s="24" t="s">
        <v>401</v>
      </c>
      <c r="I29" s="76">
        <v>40</v>
      </c>
      <c r="J29" s="76" t="s">
        <v>73</v>
      </c>
      <c r="K29" s="76" t="s">
        <v>73</v>
      </c>
      <c r="L29" s="1"/>
      <c r="M29" s="1"/>
      <c r="N29" s="1"/>
      <c r="O29" s="1"/>
      <c r="P29" s="1"/>
      <c r="Q29" s="1"/>
      <c r="R29" s="1"/>
      <c r="S29" s="71" t="s">
        <v>414</v>
      </c>
      <c r="T29" s="1"/>
    </row>
    <row r="30" spans="1:20" ht="30" x14ac:dyDescent="0.25">
      <c r="A30" s="11">
        <v>29</v>
      </c>
      <c r="B30" s="25" t="s">
        <v>396</v>
      </c>
      <c r="C30" s="25" t="s">
        <v>88</v>
      </c>
      <c r="D30" s="11" t="s">
        <v>57</v>
      </c>
      <c r="E30" s="63">
        <v>46241</v>
      </c>
      <c r="F30" s="14">
        <v>0.83333333333333337</v>
      </c>
      <c r="G30" s="25" t="s">
        <v>166</v>
      </c>
      <c r="H30" s="74" t="s">
        <v>397</v>
      </c>
      <c r="I30" s="11">
        <v>1</v>
      </c>
      <c r="J30" s="85" t="s">
        <v>398</v>
      </c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x14ac:dyDescent="0.25">
      <c r="A31" s="11">
        <v>30</v>
      </c>
      <c r="B31" s="25" t="s">
        <v>436</v>
      </c>
      <c r="C31" s="99" t="s">
        <v>439</v>
      </c>
      <c r="D31" s="100"/>
      <c r="E31" s="63">
        <v>46244</v>
      </c>
      <c r="F31" s="14">
        <v>0.375</v>
      </c>
      <c r="G31" s="25" t="s">
        <v>437</v>
      </c>
      <c r="H31" s="74" t="s">
        <v>438</v>
      </c>
      <c r="I31" s="11">
        <v>1</v>
      </c>
      <c r="J31" s="85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45" x14ac:dyDescent="0.25">
      <c r="A32" s="11">
        <v>31</v>
      </c>
      <c r="B32" s="25" t="s">
        <v>430</v>
      </c>
      <c r="C32" s="25" t="s">
        <v>19</v>
      </c>
      <c r="D32" s="11" t="s">
        <v>57</v>
      </c>
      <c r="E32" s="63">
        <v>46251</v>
      </c>
      <c r="F32" s="14">
        <v>0.70833333333333337</v>
      </c>
      <c r="G32" s="25" t="s">
        <v>249</v>
      </c>
      <c r="H32" s="24" t="s">
        <v>137</v>
      </c>
      <c r="I32" s="76">
        <v>4</v>
      </c>
      <c r="J32" s="76" t="s">
        <v>73</v>
      </c>
      <c r="K32" s="1"/>
      <c r="L32" s="1"/>
      <c r="M32" s="1"/>
      <c r="N32" s="1"/>
      <c r="O32" s="1"/>
      <c r="P32" s="1"/>
      <c r="Q32" s="1"/>
      <c r="R32" s="1"/>
      <c r="S32" s="73" t="s">
        <v>458</v>
      </c>
      <c r="T32" s="1"/>
    </row>
    <row r="33" spans="1:20" ht="30" x14ac:dyDescent="0.25">
      <c r="A33" s="11">
        <v>32</v>
      </c>
      <c r="B33" s="25" t="s">
        <v>462</v>
      </c>
      <c r="C33" s="25" t="s">
        <v>19</v>
      </c>
      <c r="D33" s="11" t="s">
        <v>22</v>
      </c>
      <c r="E33" s="63">
        <v>46254</v>
      </c>
      <c r="F33" s="14">
        <v>0.75</v>
      </c>
      <c r="G33" s="25" t="s">
        <v>50</v>
      </c>
      <c r="H33" s="24" t="s">
        <v>492</v>
      </c>
      <c r="I33" s="11">
        <v>13</v>
      </c>
      <c r="J33" s="11">
        <v>22500</v>
      </c>
      <c r="K33" s="11" t="s">
        <v>73</v>
      </c>
      <c r="L33" s="64"/>
      <c r="M33" s="64"/>
      <c r="N33" s="64"/>
      <c r="O33" s="64"/>
      <c r="P33" s="64"/>
      <c r="Q33" s="64"/>
      <c r="R33" s="64"/>
      <c r="S33" s="65"/>
      <c r="T33" s="64"/>
    </row>
    <row r="34" spans="1:20" ht="30" x14ac:dyDescent="0.25">
      <c r="A34" s="11">
        <v>33</v>
      </c>
      <c r="B34" s="25" t="s">
        <v>459</v>
      </c>
      <c r="C34" s="25" t="s">
        <v>19</v>
      </c>
      <c r="D34" s="11" t="s">
        <v>22</v>
      </c>
      <c r="E34" s="63">
        <v>46256</v>
      </c>
      <c r="F34" s="14">
        <v>0.66666666666666663</v>
      </c>
      <c r="G34" s="27" t="s">
        <v>460</v>
      </c>
      <c r="H34" s="25" t="s">
        <v>461</v>
      </c>
      <c r="I34" s="11">
        <v>4</v>
      </c>
      <c r="J34" s="11" t="s">
        <v>73</v>
      </c>
      <c r="K34" s="11" t="s">
        <v>73</v>
      </c>
      <c r="L34" s="64"/>
      <c r="M34" s="64"/>
      <c r="N34" s="64"/>
      <c r="O34" s="64"/>
      <c r="P34" s="64"/>
      <c r="Q34" s="64"/>
      <c r="R34" s="64"/>
      <c r="S34" s="64"/>
      <c r="T34" s="64"/>
    </row>
    <row r="35" spans="1:20" ht="45" x14ac:dyDescent="0.25">
      <c r="A35" s="11">
        <v>34</v>
      </c>
      <c r="B35" s="25" t="s">
        <v>471</v>
      </c>
      <c r="C35" s="25" t="s">
        <v>19</v>
      </c>
      <c r="D35" s="11" t="s">
        <v>22</v>
      </c>
      <c r="E35" s="63">
        <v>46261</v>
      </c>
      <c r="F35" s="14">
        <v>0.79166666666666663</v>
      </c>
      <c r="G35" s="25" t="s">
        <v>138</v>
      </c>
      <c r="H35" s="24" t="s">
        <v>472</v>
      </c>
      <c r="I35" s="11">
        <v>3</v>
      </c>
      <c r="J35" s="11" t="s">
        <v>73</v>
      </c>
      <c r="K35" s="11" t="s">
        <v>73</v>
      </c>
      <c r="L35" s="64"/>
      <c r="M35" s="64"/>
      <c r="N35" s="64"/>
      <c r="O35" s="64"/>
      <c r="P35" s="64"/>
      <c r="Q35" s="64"/>
      <c r="R35" s="64"/>
      <c r="S35" s="73" t="s">
        <v>486</v>
      </c>
      <c r="T35" s="64"/>
    </row>
    <row r="36" spans="1:20" ht="30" x14ac:dyDescent="0.25">
      <c r="A36" s="11">
        <v>35</v>
      </c>
      <c r="B36" s="25" t="s">
        <v>463</v>
      </c>
      <c r="C36" s="11" t="s">
        <v>88</v>
      </c>
      <c r="D36" s="11" t="s">
        <v>22</v>
      </c>
      <c r="E36" s="63">
        <v>46262</v>
      </c>
      <c r="F36" s="14">
        <v>0.75</v>
      </c>
      <c r="G36" s="25" t="s">
        <v>363</v>
      </c>
      <c r="H36" s="24" t="s">
        <v>464</v>
      </c>
      <c r="I36" s="11">
        <v>144</v>
      </c>
      <c r="J36" s="35" t="s">
        <v>465</v>
      </c>
      <c r="K36" s="64"/>
      <c r="L36" s="64"/>
      <c r="M36" s="64"/>
      <c r="N36" s="64"/>
      <c r="O36" s="64"/>
      <c r="P36" s="64"/>
      <c r="Q36" s="64"/>
      <c r="R36" s="64"/>
      <c r="S36" s="65"/>
      <c r="T36" s="64"/>
    </row>
    <row r="37" spans="1:20" x14ac:dyDescent="0.25">
      <c r="A37" s="11">
        <v>36</v>
      </c>
      <c r="B37" s="25" t="s">
        <v>467</v>
      </c>
      <c r="C37" s="11" t="s">
        <v>88</v>
      </c>
      <c r="D37" s="11" t="s">
        <v>57</v>
      </c>
      <c r="E37" s="63">
        <v>46268</v>
      </c>
      <c r="F37" s="14">
        <v>0.70833333333333304</v>
      </c>
      <c r="G37" s="25" t="s">
        <v>469</v>
      </c>
      <c r="H37" s="27" t="s">
        <v>468</v>
      </c>
      <c r="I37" s="64"/>
      <c r="J37" s="28">
        <v>300000</v>
      </c>
      <c r="K37" s="64"/>
      <c r="L37" s="64"/>
      <c r="M37" s="64"/>
      <c r="N37" s="64"/>
      <c r="O37" s="64"/>
      <c r="P37" s="64"/>
      <c r="Q37" s="64"/>
      <c r="R37" s="64"/>
      <c r="S37" s="64"/>
      <c r="T37" s="64"/>
    </row>
    <row r="38" spans="1:20" x14ac:dyDescent="0.25">
      <c r="A38" s="11">
        <v>37</v>
      </c>
      <c r="B38" s="25" t="s">
        <v>509</v>
      </c>
      <c r="C38" s="11" t="s">
        <v>19</v>
      </c>
      <c r="D38" s="11" t="s">
        <v>57</v>
      </c>
      <c r="E38" s="63">
        <v>46268</v>
      </c>
      <c r="F38" s="14">
        <v>0.75</v>
      </c>
      <c r="G38" s="25" t="s">
        <v>341</v>
      </c>
      <c r="H38" s="27" t="s">
        <v>137</v>
      </c>
      <c r="I38" s="28">
        <v>6</v>
      </c>
      <c r="J38" s="28" t="s">
        <v>73</v>
      </c>
      <c r="K38" s="64"/>
      <c r="L38" s="64"/>
      <c r="M38" s="64"/>
      <c r="N38" s="64"/>
      <c r="O38" s="64"/>
      <c r="P38" s="64"/>
      <c r="Q38" s="64"/>
      <c r="R38" s="64"/>
      <c r="S38" s="64"/>
      <c r="T38" s="64"/>
    </row>
    <row r="39" spans="1:20" ht="30" x14ac:dyDescent="0.25">
      <c r="A39" s="11">
        <v>38</v>
      </c>
      <c r="B39" s="25" t="s">
        <v>473</v>
      </c>
      <c r="C39" s="11" t="s">
        <v>19</v>
      </c>
      <c r="D39" s="11" t="s">
        <v>22</v>
      </c>
      <c r="E39" s="63">
        <v>46274</v>
      </c>
      <c r="F39" s="14">
        <v>0.70833333333333304</v>
      </c>
      <c r="G39" s="25" t="s">
        <v>474</v>
      </c>
      <c r="H39" s="24" t="s">
        <v>199</v>
      </c>
      <c r="I39" s="11">
        <v>25</v>
      </c>
      <c r="J39" s="85" t="s">
        <v>465</v>
      </c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05" x14ac:dyDescent="0.25">
      <c r="A40" s="11">
        <v>39</v>
      </c>
      <c r="B40" s="25" t="s">
        <v>504</v>
      </c>
      <c r="C40" s="11" t="s">
        <v>19</v>
      </c>
      <c r="D40" s="11" t="s">
        <v>22</v>
      </c>
      <c r="E40" s="63">
        <v>46283</v>
      </c>
      <c r="F40" s="14">
        <v>0.75</v>
      </c>
      <c r="G40" s="25" t="s">
        <v>505</v>
      </c>
      <c r="H40" s="24" t="s">
        <v>506</v>
      </c>
      <c r="I40" s="11">
        <v>30</v>
      </c>
      <c r="J40" s="11" t="s">
        <v>73</v>
      </c>
      <c r="K40" s="11" t="s">
        <v>73</v>
      </c>
      <c r="L40" s="1"/>
      <c r="M40" s="1"/>
      <c r="N40" s="1"/>
      <c r="O40" s="1"/>
      <c r="P40" s="1"/>
      <c r="Q40" s="1"/>
      <c r="R40" s="1"/>
      <c r="S40" s="73" t="s">
        <v>507</v>
      </c>
      <c r="T40" s="1"/>
    </row>
    <row r="44" spans="1:20" x14ac:dyDescent="0.25">
      <c r="G44">
        <f>56000*6</f>
        <v>336000</v>
      </c>
    </row>
  </sheetData>
  <autoFilter ref="A1:T1" xr:uid="{00000000-0009-0000-0000-000002000000}"/>
  <mergeCells count="5">
    <mergeCell ref="C6:D6"/>
    <mergeCell ref="C10:D10"/>
    <mergeCell ref="C11:D11"/>
    <mergeCell ref="C28:D28"/>
    <mergeCell ref="C31:D31"/>
  </mergeCells>
  <hyperlinks>
    <hyperlink ref="S4" r:id="rId1" location="variant_id=5116877-13892263221" display="https://mkp.gem.gov.in/inverter-v2/1600va-1275w/p-5116877-13892263221-cat.html#variant_id=5116877-13892263221" xr:uid="{B5E48550-EDDE-4CA8-BF84-B6F0D4FBBEDB}"/>
    <hyperlink ref="S7" r:id="rId2" xr:uid="{FFC7AA3D-F94D-41CB-A702-4C1432FC8E11}"/>
    <hyperlink ref="S8" r:id="rId3" display="https://mkp.gem.gov.in/entry-mid-level-desktop-computer/dell-dt/p-5116877-30580852800-cat.html_x000a__x000a_" xr:uid="{B62B17ED-C2DA-4B83-956B-E74827E5A754}"/>
    <hyperlink ref="S13" r:id="rId4" display="https://mkp.gem.gov.in/line-interactive-ups-with-avr-v2/legend-650-mtkur65/p-5116877-12020907962-cat.html" xr:uid="{CD61D843-C1AC-4434-8CF6-55CD6F1864B6}"/>
    <hyperlink ref="S16" r:id="rId5" location="variant_id=5116877-16069160541" display="https://mkp.gem.gov.in/a4-legal-size-multifunction-printer-mfp/hp-lj-pro-mfp-m329dw-ptr-with-1/p-5116877-16069160541-cat.html#variant_id=5116877-16069160541" xr:uid="{0130F0E0-637B-4A7D-8586-7C53137910B8}"/>
    <hyperlink ref="S14" r:id="rId6" location="variant_id=5116877-98207736283" display="https://mkp.gem.gov.in/computer-keyboards/hp-115-wireless-keyboard-india/p-5116877-98207736283-cat.html#variant_id=5116877-98207736283" xr:uid="{44C6584B-66EC-4ABA-B7F1-FF2D27DABF1F}"/>
    <hyperlink ref="S15" r:id="rId7" location="variant_id=5116877-12020907962" display="https://mkp.gem.gov.in/line-interactive-ups-with-avr-v2/legend-650-mtkur65/p-5116877-12020907962-cat.html#variant_id=5116877-12020907962" xr:uid="{6BB89DA8-735A-4AE4-9578-7F57AF6CE80B}"/>
    <hyperlink ref="S21" r:id="rId8" location="variant_id=5116877-62273360120" display="https://mkp.gem.gov.in/all-one-pc-v2/hp-440-g9-aio-i7-14700-win11p-1611/p-5116877-62273360120-cat.html#variant_id=5116877-62273360120" xr:uid="{67E1ED62-3CA9-4A89-B9BA-2E0FF38C72F7}"/>
    <hyperlink ref="S23" r:id="rId9" location="variant_id=5116877-82122081970" xr:uid="{E8015D6B-3D32-42AE-8193-203846C511C0}"/>
    <hyperlink ref="S26" r:id="rId10" xr:uid="{17ED24AA-EDF6-4640-A71D-4B80360E0021}"/>
    <hyperlink ref="S32" r:id="rId11" location="variant_id=5116877-79996277498" xr:uid="{0E6554A4-595C-4D19-B299-292CE56BDAF1}"/>
    <hyperlink ref="S35" r:id="rId12" location="variant_id=5116877-40902404181" xr:uid="{7B3FDCE1-C4F4-47E4-B78D-DBA129F455B9}"/>
    <hyperlink ref="S40" r:id="rId13" location="variant_id=5116877-33731291013" display="https://mkp.gem.gov.in/line-interactive-ups-with-avr-v2/650va-offline-ups/p-5116877-33731291013-cat.html#variant_id=5116877-33731291013" xr:uid="{07E41475-6D79-4EE5-BD77-61492BB76A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TENDERS </vt:lpstr>
      <vt:lpstr>SUPPORTING BID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business@globx.co.in</dc:creator>
  <cp:lastModifiedBy>business@globx.co.in</cp:lastModifiedBy>
  <dcterms:created xsi:type="dcterms:W3CDTF">2026-04-01T05:26:06Z</dcterms:created>
  <dcterms:modified xsi:type="dcterms:W3CDTF">2026-08-29T08:55:14Z</dcterms:modified>
</cp:coreProperties>
</file>